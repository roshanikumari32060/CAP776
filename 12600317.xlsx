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0c588e9b1244fd9/Desktop/CAP776/"/>
    </mc:Choice>
  </mc:AlternateContent>
  <xr:revisionPtr revIDLastSave="1908" documentId="8_{B77C434B-7271-4DC5-97B4-D8EF94629151}" xr6:coauthVersionLast="47" xr6:coauthVersionMax="47" xr10:uidLastSave="{0E9D065D-678C-47C1-B210-535BA9879C77}"/>
  <bookViews>
    <workbookView xWindow="-110" yWindow="-110" windowWidth="22620" windowHeight="135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0" i="2" l="1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<sst xmlns="http://schemas.openxmlformats.org/spreadsheetml/2006/main" count="365" uniqueCount="135">
  <si>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</si>
  <si>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</si>
  <si>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</si>
  <si>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</si>
  <si>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</si>
  <si>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</si>
  <si>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</si>
  <si>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</si>
  <si>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</si>
  <si>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</si>
  <si>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</si>
  <si>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</si>
  <si>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</si>
  <si>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</si>
  <si>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</si>
  <si>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</si>
  <si>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</si>
  <si>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</si>
  <si>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</si>
  <si>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</si>
  <si>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</si>
  <si>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</si>
  <si>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</si>
  <si>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</si>
  <si>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</si>
  <si>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</si>
  <si>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</si>
  <si>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</si>
  <si>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</si>
  <si>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</si>
  <si>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</si>
  <si>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</si>
  <si>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</si>
  <si>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</si>
  <si>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</si>
  <si>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</si>
  <si>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</si>
  <si>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</si>
  <si>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</si>
  <si>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</si>
  <si>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</si>
  <si>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</si>
  <si>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</si>
  <si>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</si>
  <si>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</si>
  <si>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</si>
  <si>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</si>
  <si>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</si>
  <si>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</si>
  <si>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</si>
  <si>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</si>
  <si>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</si>
  <si>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</si>
  <si>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Roshani Kumari</t>
  </si>
  <si>
    <t>CAP776</t>
  </si>
  <si>
    <t>August</t>
  </si>
  <si>
    <t>Neutral</t>
  </si>
  <si>
    <t>Low</t>
  </si>
  <si>
    <t>Attended 6 college classes, revised study topics, and practiced programming.</t>
  </si>
  <si>
    <t>Excellent</t>
  </si>
  <si>
    <t>High</t>
  </si>
  <si>
    <t>Long day with 7 classes finished daily coding goals and core study syllabus.</t>
  </si>
  <si>
    <t>Weekend routine focused entirely on software logic develpoment and self-study.</t>
  </si>
  <si>
    <t>Attended 5 classes, solved programming problems, and prepared study notes.</t>
  </si>
  <si>
    <t>Managed 5 classes along with routine coding tasks and regular study material.</t>
  </si>
  <si>
    <t>Balanced 4 classes successfully while tracking standard study and coding hours.</t>
  </si>
  <si>
    <t>Wrapped up 6 classes, coding assignments, and essential academic reading.</t>
  </si>
  <si>
    <t xml:space="preserve"> Covered a heavy schedule of 7 classes, finished daily study and coding blocks.</t>
  </si>
  <si>
    <t xml:space="preserve"> Dedicated extra hours to algorithm structures and deep technical study.</t>
  </si>
  <si>
    <t>Attended 5 college classes, executed syntax debugging and textbook analysis.</t>
  </si>
  <si>
    <t>Completed 5 classes. Focused entirely on programming logic and core syllabus.</t>
  </si>
  <si>
    <t>Managed 4 classes smoothly, followed by rigorous coding and daily study.</t>
  </si>
  <si>
    <t>Completed 6 classes. Kept up with continuous programming drill and study text.</t>
  </si>
  <si>
    <t>Sunday time tracking focused purely on solving programming errors and revisions.</t>
  </si>
  <si>
    <t>Attended 5 classes. Completed programming homework and self-study modules.</t>
  </si>
  <si>
    <t>5 classes completed. Dedicated standard routine to DSA problems and notes review.</t>
  </si>
  <si>
    <t>Attended 6 classes; managed evening hours for basic coding and engineering study.</t>
  </si>
  <si>
    <t>Class-free day; completely invested in complex script building and library studies.</t>
  </si>
  <si>
    <t xml:space="preserve"> Weekend tracking centered entirely on advanced logic structures and academic study.</t>
  </si>
  <si>
    <t>Attended 5 classes. Practiced building simple scripts and reviewed theory text.</t>
  </si>
  <si>
    <t>Sunday time table dedicated strictly to continuous coding challenges and textbook analysis.</t>
  </si>
  <si>
    <t>Attended 5 classes. Kept steady progress in programming problem-solving.</t>
  </si>
  <si>
    <t>Completed 4 classes, followed up with comprehensive coding drill and study notes.</t>
  </si>
  <si>
    <t>Pushed through 6 classes, still completed everyday programming goals and study.</t>
  </si>
  <si>
    <t>Heavy day with 7 classes; finished programming tasks and brief textbook reading.</t>
  </si>
  <si>
    <t>Class-free day; completely dedicated to debugging main program files and extensive reading.</t>
  </si>
  <si>
    <t xml:space="preserve"> Sunday logs completely focused on coding syntax resolution and reviewing weekly targets.</t>
  </si>
  <si>
    <t>Smoothly handled 4 classes, then focused on data structure codes and main study.</t>
  </si>
  <si>
    <t>Long run of 6 classes. Completed minimum required lines of code and daily reading.</t>
  </si>
  <si>
    <t>Managed 7 classes. Successfully achieved set target for code analysis and study.</t>
  </si>
  <si>
    <t>Routine 5 classes completed; standard attention given to coding tasks and self-study.</t>
  </si>
  <si>
    <t>Maintained peak energy levels today. Successfully attended 4 classes and logged 6 hours of core skill building.</t>
  </si>
  <si>
    <t>7 classes attended. Pushed through to complete coding and quick study.</t>
  </si>
  <si>
    <t xml:space="preserve">No classes today, so had the perfect chance to focus entirely on self-study and coding. </t>
  </si>
  <si>
    <t xml:space="preserve">Since there were no classes scheduled today, it provided a perfect opportunity to fully focus on self-study and coding. </t>
  </si>
  <si>
    <t>No classes due to college protest, focused entirely on self study and coding sessions.</t>
  </si>
  <si>
    <t>Traveled today due to the ongoing college protest.All academic activities and logs are zero for day.</t>
  </si>
  <si>
    <t>Traveled due to college protest and got tired. Since mid-terms are approaching. Focused more on increasing my study time.</t>
  </si>
  <si>
    <t>Mid-terms are approaching, so I have increased my study and coding time.</t>
  </si>
  <si>
    <t xml:space="preserve">Excellent balance between learning and coding kept the energy high and mood satisfied. </t>
  </si>
  <si>
    <t>No classes, full weekend time invested in code optimization and study.</t>
  </si>
  <si>
    <t>A wonderful and highly productive day where all goals were beautifully met.</t>
  </si>
  <si>
    <t>No classes today, but the productivity remained unmatched. Kept the energy high and ended the day felling thoroughly satisfied.</t>
  </si>
  <si>
    <t xml:space="preserve"> Good balance between learning and coding kept the energy high and mood satisfied.</t>
  </si>
  <si>
    <t>Stressed</t>
  </si>
  <si>
    <t>Very Satisfied</t>
  </si>
  <si>
    <t>No classes utilized free weekend to practice advanced coding and deep study.</t>
  </si>
  <si>
    <t xml:space="preserve"> Class-free day completely invested in intensive backend coding and core study.</t>
  </si>
  <si>
    <t>Attended 7 back-to-back classes fulfilled all required study and coding tasks.</t>
  </si>
  <si>
    <t>No university schedule, devoted continuous hours to coding project files and notes.</t>
  </si>
  <si>
    <t>4 classes done, achieved the exact target for script coding and study revision.</t>
  </si>
  <si>
    <t>Utilized the full data tracking window for heavy programming and study.</t>
  </si>
  <si>
    <t xml:space="preserve"> Standard attention given to coding tasks and self-study.</t>
  </si>
  <si>
    <t>A wonderful and highly excellent day where all goals were beautifully met.</t>
  </si>
  <si>
    <t xml:space="preserve"> Highly productive day with excellent performance and high energy levels.</t>
  </si>
  <si>
    <t>Consistent routine with a satisfying balance of coding and study.</t>
  </si>
  <si>
    <t>A busy yet rewarding day where all core goals were achieved.</t>
  </si>
  <si>
    <t>Unsatisfied</t>
  </si>
  <si>
    <t>A highly productive day with a perfect blend of learning and execution.</t>
  </si>
  <si>
    <t>Attended online classes and fully focused on midterm preparation</t>
  </si>
  <si>
    <t>Attended online classes and fully focused on midterm preparation.</t>
  </si>
  <si>
    <t>A neutral and balanced day focused on completing routine self-study and maintaining standard coding targets.</t>
  </si>
  <si>
    <t>A Satisfying and productive day with consistent study, elevated coding time, and stable energy level.</t>
  </si>
  <si>
    <t>Achieved excellent daily balance with dedicated study time and stable energy levels.</t>
  </si>
  <si>
    <t>Successfully started my mid-term examinations today while maintaining consistent hours for study and wellness.</t>
  </si>
  <si>
    <t>Continued mid-term preparations with a 8 hours of studying and coding, while maintaining stable energy levels.</t>
  </si>
  <si>
    <t xml:space="preserve">Balanced mid-term exams with 8 hours of study and coding practice while keeping a medium energy level.  </t>
  </si>
  <si>
    <t>Achieved peak productivity with 9 hours of study and high energy on a non-exam day, feeling completely satisfied.</t>
  </si>
  <si>
    <t>Maintained a steady study and coding routine alongside mid-term exams, keeping energy levels consistent.</t>
  </si>
  <si>
    <t xml:space="preserve">Achieved a peak of 8 hours of study and 100 minutes of coding resulting in a excellent day. </t>
  </si>
  <si>
    <t>Maintained 8 hours of study with maximum energy levels and highly satisfactory performance.</t>
  </si>
  <si>
    <t>A highly efficient day balanced with active learning, 40 minutes of fitness, and an excellent overall feeling.</t>
  </si>
  <si>
    <t xml:space="preserve">Showcased strong academic commitment with extensive study sessions and high energy levels throughout the day. </t>
  </si>
  <si>
    <t xml:space="preserve">Demonstrated excellent academic consistency with high energy balanced across classes, self-study, and daily fitness. </t>
  </si>
  <si>
    <t>Maintained a perfect balance between academic commitments, intensive coding , and daily physical well-being.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</si>
</sst>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52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0"/>
  <sheetViews>
    <sheetView showGridLines="0" tabSelected="1" zoomScaleNormal="100" workbookViewId="0">
      <pane xSplit="1" ySplit="5" topLeftCell="B81" activePane="bottomRight" state="frozen"/>
      <selection pane="topRight" activeCell="B1" sqref="B1"/>
      <selection pane="bottomLeft" activeCell="A6" sqref="A6"/>
      <selection pane="bottomRight" activeCell="N84" sqref="N84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5" t="s">
        <v>29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9.5" customHeight="1" x14ac:dyDescent="0.35">
      <c r="A2" s="6" t="s">
        <v>30</v>
      </c>
      <c r="B2" s="16" t="s">
        <v>53</v>
      </c>
      <c r="C2" s="16"/>
      <c r="D2" s="16"/>
      <c r="E2" s="6" t="s">
        <v>31</v>
      </c>
      <c r="F2" s="16">
        <v>12600317</v>
      </c>
      <c r="G2" s="16"/>
    </row>
    <row r="3" spans="1:14" ht="19.5" customHeight="1" x14ac:dyDescent="0.35">
      <c r="A3" s="6" t="s">
        <v>32</v>
      </c>
      <c r="B3" s="16" t="s">
        <v>54</v>
      </c>
      <c r="C3" s="16"/>
      <c r="D3" s="16"/>
      <c r="E3" s="6" t="s">
        <v>33</v>
      </c>
      <c r="F3" s="16" t="s">
        <v>55</v>
      </c>
      <c r="G3" s="16"/>
    </row>
    <row r="4" spans="1:14" x14ac:dyDescent="0.35">
      <c r="A4" s="14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46240</v>
      </c>
      <c r="B6" s="9">
        <v>420</v>
      </c>
      <c r="C6" s="9">
        <v>30</v>
      </c>
      <c r="D6" s="9">
        <v>150</v>
      </c>
      <c r="E6" s="9">
        <v>90</v>
      </c>
      <c r="F6" s="9">
        <v>300</v>
      </c>
      <c r="G6" s="9">
        <v>6</v>
      </c>
      <c r="H6" s="9">
        <v>30</v>
      </c>
      <c r="I6" s="10">
        <f t="shared" ref="I6:I68" si="0">IF(SUM(B6:F6,H6)=0,"",SUM(B6:F6,H6))</f>
        <v>1020</v>
      </c>
      <c r="J6" s="10">
        <f t="shared" ref="J6:J68" si="1">IF(I6="","",1440-I6)</f>
        <v>420</v>
      </c>
      <c r="K6" s="11" t="s">
        <v>57</v>
      </c>
      <c r="L6" s="11" t="s">
        <v>56</v>
      </c>
      <c r="M6" s="11" t="s">
        <v>57</v>
      </c>
      <c r="N6" s="12" t="s">
        <v>58</v>
      </c>
    </row>
    <row r="7" spans="1:14" ht="43.5" x14ac:dyDescent="0.35">
      <c r="A7" s="8">
        <v>46241</v>
      </c>
      <c r="B7" s="9">
        <v>420</v>
      </c>
      <c r="C7" s="9">
        <v>20</v>
      </c>
      <c r="D7" s="9">
        <v>120</v>
      </c>
      <c r="E7" s="9">
        <v>60</v>
      </c>
      <c r="F7" s="9">
        <v>350</v>
      </c>
      <c r="G7" s="9">
        <v>7</v>
      </c>
      <c r="H7" s="9">
        <v>30</v>
      </c>
      <c r="I7" s="10">
        <f t="shared" si="0"/>
        <v>1000</v>
      </c>
      <c r="J7" s="10">
        <f t="shared" si="1"/>
        <v>440</v>
      </c>
      <c r="K7" s="11" t="s">
        <v>104</v>
      </c>
      <c r="L7" s="11" t="s">
        <v>56</v>
      </c>
      <c r="M7" s="11" t="s">
        <v>57</v>
      </c>
      <c r="N7" s="12" t="s">
        <v>61</v>
      </c>
    </row>
    <row r="8" spans="1:14" ht="43.5" x14ac:dyDescent="0.35">
      <c r="A8" s="8">
        <v>46242</v>
      </c>
      <c r="B8" s="9">
        <v>480</v>
      </c>
      <c r="C8" s="9">
        <v>40</v>
      </c>
      <c r="D8" s="9">
        <v>200</v>
      </c>
      <c r="E8" s="9">
        <v>120</v>
      </c>
      <c r="F8" s="9">
        <v>0</v>
      </c>
      <c r="G8" s="9">
        <v>0</v>
      </c>
      <c r="H8" s="9">
        <v>60</v>
      </c>
      <c r="I8" s="10">
        <f t="shared" si="0"/>
        <v>900</v>
      </c>
      <c r="J8" s="10">
        <f t="shared" si="1"/>
        <v>540</v>
      </c>
      <c r="K8" s="11" t="s">
        <v>59</v>
      </c>
      <c r="L8" s="11" t="s">
        <v>105</v>
      </c>
      <c r="M8" s="11" t="s">
        <v>60</v>
      </c>
      <c r="N8" s="12" t="s">
        <v>106</v>
      </c>
    </row>
    <row r="9" spans="1:14" ht="43.5" x14ac:dyDescent="0.35">
      <c r="A9" s="8">
        <v>46243</v>
      </c>
      <c r="B9" s="9">
        <v>480</v>
      </c>
      <c r="C9" s="9">
        <v>45</v>
      </c>
      <c r="D9" s="9">
        <v>280</v>
      </c>
      <c r="E9" s="9">
        <v>120</v>
      </c>
      <c r="F9" s="9">
        <v>0</v>
      </c>
      <c r="G9" s="9">
        <v>0</v>
      </c>
      <c r="H9" s="9">
        <v>60</v>
      </c>
      <c r="I9" s="10">
        <f t="shared" si="0"/>
        <v>985</v>
      </c>
      <c r="J9" s="10">
        <f t="shared" si="1"/>
        <v>455</v>
      </c>
      <c r="K9" s="11" t="s">
        <v>59</v>
      </c>
      <c r="L9" s="11" t="s">
        <v>105</v>
      </c>
      <c r="M9" s="11" t="s">
        <v>60</v>
      </c>
      <c r="N9" s="12" t="s">
        <v>62</v>
      </c>
    </row>
    <row r="10" spans="1:14" ht="43.5" x14ac:dyDescent="0.35">
      <c r="A10" s="8">
        <v>46244</v>
      </c>
      <c r="B10" s="9">
        <v>420</v>
      </c>
      <c r="C10" s="9">
        <v>30</v>
      </c>
      <c r="D10" s="9">
        <v>180</v>
      </c>
      <c r="E10" s="9">
        <v>90</v>
      </c>
      <c r="F10" s="9">
        <v>250</v>
      </c>
      <c r="G10" s="9">
        <v>5</v>
      </c>
      <c r="H10" s="9">
        <v>30</v>
      </c>
      <c r="I10" s="10">
        <f t="shared" si="0"/>
        <v>1000</v>
      </c>
      <c r="J10" s="10">
        <f t="shared" si="1"/>
        <v>440</v>
      </c>
      <c r="K10" s="11" t="s">
        <v>49</v>
      </c>
      <c r="L10" s="11" t="s">
        <v>50</v>
      </c>
      <c r="M10" s="11" t="s">
        <v>51</v>
      </c>
      <c r="N10" s="12" t="s">
        <v>63</v>
      </c>
    </row>
    <row r="11" spans="1:14" ht="43.5" x14ac:dyDescent="0.35">
      <c r="A11" s="8">
        <v>46245</v>
      </c>
      <c r="B11" s="9">
        <v>420</v>
      </c>
      <c r="C11" s="9">
        <v>30</v>
      </c>
      <c r="D11" s="9">
        <v>180</v>
      </c>
      <c r="E11" s="9">
        <v>90</v>
      </c>
      <c r="F11" s="9">
        <v>250</v>
      </c>
      <c r="G11" s="9">
        <v>5</v>
      </c>
      <c r="H11" s="9">
        <v>30</v>
      </c>
      <c r="I11" s="10">
        <f t="shared" si="0"/>
        <v>1000</v>
      </c>
      <c r="J11" s="10">
        <f t="shared" si="1"/>
        <v>440</v>
      </c>
      <c r="K11" s="11" t="s">
        <v>49</v>
      </c>
      <c r="L11" s="11" t="s">
        <v>50</v>
      </c>
      <c r="M11" s="11" t="s">
        <v>51</v>
      </c>
      <c r="N11" s="12" t="s">
        <v>64</v>
      </c>
    </row>
    <row r="12" spans="1:14" ht="43.5" x14ac:dyDescent="0.35">
      <c r="A12" s="8">
        <v>46246</v>
      </c>
      <c r="B12" s="9">
        <v>420</v>
      </c>
      <c r="C12" s="9">
        <v>40</v>
      </c>
      <c r="D12" s="9">
        <v>190</v>
      </c>
      <c r="E12" s="9">
        <v>70</v>
      </c>
      <c r="F12" s="9">
        <v>200</v>
      </c>
      <c r="G12" s="9">
        <v>4</v>
      </c>
      <c r="H12" s="9">
        <v>30</v>
      </c>
      <c r="I12" s="10">
        <f t="shared" si="0"/>
        <v>950</v>
      </c>
      <c r="J12" s="10">
        <f t="shared" si="1"/>
        <v>490</v>
      </c>
      <c r="K12" s="11" t="s">
        <v>59</v>
      </c>
      <c r="L12" s="11" t="s">
        <v>105</v>
      </c>
      <c r="M12" s="11" t="s">
        <v>60</v>
      </c>
      <c r="N12" s="12" t="s">
        <v>65</v>
      </c>
    </row>
    <row r="13" spans="1:14" ht="43.5" x14ac:dyDescent="0.35">
      <c r="A13" s="8">
        <v>46247</v>
      </c>
      <c r="B13" s="9">
        <v>420</v>
      </c>
      <c r="C13" s="9">
        <v>30</v>
      </c>
      <c r="D13" s="9">
        <v>150</v>
      </c>
      <c r="E13" s="9">
        <v>60</v>
      </c>
      <c r="F13" s="9">
        <v>300</v>
      </c>
      <c r="G13" s="9">
        <v>6</v>
      </c>
      <c r="H13" s="9">
        <v>30</v>
      </c>
      <c r="I13" s="10">
        <f t="shared" si="0"/>
        <v>990</v>
      </c>
      <c r="J13" s="10">
        <f t="shared" si="1"/>
        <v>450</v>
      </c>
      <c r="K13" s="11" t="s">
        <v>59</v>
      </c>
      <c r="L13" s="11" t="s">
        <v>105</v>
      </c>
      <c r="M13" s="11" t="s">
        <v>60</v>
      </c>
      <c r="N13" s="12" t="s">
        <v>66</v>
      </c>
    </row>
    <row r="14" spans="1:14" ht="43.5" x14ac:dyDescent="0.35">
      <c r="A14" s="8">
        <v>46248</v>
      </c>
      <c r="B14" s="9">
        <v>420</v>
      </c>
      <c r="C14" s="9">
        <v>30</v>
      </c>
      <c r="D14" s="9">
        <v>120</v>
      </c>
      <c r="E14" s="9">
        <v>60</v>
      </c>
      <c r="F14" s="9">
        <v>350</v>
      </c>
      <c r="G14" s="9">
        <v>7</v>
      </c>
      <c r="H14" s="9">
        <v>30</v>
      </c>
      <c r="I14" s="10">
        <f t="shared" si="0"/>
        <v>1010</v>
      </c>
      <c r="J14" s="10">
        <f t="shared" si="1"/>
        <v>430</v>
      </c>
      <c r="K14" s="11" t="s">
        <v>49</v>
      </c>
      <c r="L14" s="11" t="s">
        <v>105</v>
      </c>
      <c r="M14" s="11" t="s">
        <v>51</v>
      </c>
      <c r="N14" s="13" t="s">
        <v>67</v>
      </c>
    </row>
    <row r="15" spans="1:14" ht="43.5" x14ac:dyDescent="0.35">
      <c r="A15" s="8">
        <v>46249</v>
      </c>
      <c r="B15" s="9">
        <v>480</v>
      </c>
      <c r="C15" s="9">
        <v>40</v>
      </c>
      <c r="D15" s="9">
        <v>200</v>
      </c>
      <c r="E15" s="9">
        <v>150</v>
      </c>
      <c r="F15" s="9">
        <v>0</v>
      </c>
      <c r="G15" s="9">
        <v>0</v>
      </c>
      <c r="H15" s="9">
        <v>60</v>
      </c>
      <c r="I15" s="10">
        <f t="shared" si="0"/>
        <v>930</v>
      </c>
      <c r="J15" s="10">
        <f t="shared" si="1"/>
        <v>510</v>
      </c>
      <c r="K15" s="11" t="s">
        <v>59</v>
      </c>
      <c r="L15" s="11" t="s">
        <v>105</v>
      </c>
      <c r="M15" s="11" t="s">
        <v>60</v>
      </c>
      <c r="N15" s="12" t="s">
        <v>107</v>
      </c>
    </row>
    <row r="16" spans="1:14" ht="43.5" x14ac:dyDescent="0.35">
      <c r="A16" s="8">
        <v>46250</v>
      </c>
      <c r="B16" s="9">
        <v>480</v>
      </c>
      <c r="C16" s="9">
        <v>45</v>
      </c>
      <c r="D16" s="9">
        <v>280</v>
      </c>
      <c r="E16" s="9">
        <v>120</v>
      </c>
      <c r="F16" s="9">
        <v>0</v>
      </c>
      <c r="G16" s="9">
        <v>0</v>
      </c>
      <c r="H16" s="9">
        <v>60</v>
      </c>
      <c r="I16" s="10">
        <f t="shared" si="0"/>
        <v>985</v>
      </c>
      <c r="J16" s="10">
        <f t="shared" si="1"/>
        <v>455</v>
      </c>
      <c r="K16" s="11" t="s">
        <v>59</v>
      </c>
      <c r="L16" s="11" t="s">
        <v>105</v>
      </c>
      <c r="M16" s="11" t="s">
        <v>60</v>
      </c>
      <c r="N16" s="12" t="s">
        <v>68</v>
      </c>
    </row>
    <row r="17" spans="1:14" ht="43.5" x14ac:dyDescent="0.35">
      <c r="A17" s="8">
        <v>46251</v>
      </c>
      <c r="B17" s="9">
        <v>420</v>
      </c>
      <c r="C17" s="9">
        <v>30</v>
      </c>
      <c r="D17" s="9">
        <v>180</v>
      </c>
      <c r="E17" s="9">
        <v>90</v>
      </c>
      <c r="F17" s="9">
        <v>250</v>
      </c>
      <c r="G17" s="9">
        <v>5</v>
      </c>
      <c r="H17" s="9">
        <v>30</v>
      </c>
      <c r="I17" s="10">
        <f t="shared" si="0"/>
        <v>1000</v>
      </c>
      <c r="J17" s="10">
        <f t="shared" si="1"/>
        <v>440</v>
      </c>
      <c r="K17" s="11" t="s">
        <v>49</v>
      </c>
      <c r="L17" s="11" t="s">
        <v>50</v>
      </c>
      <c r="M17" s="11" t="s">
        <v>51</v>
      </c>
      <c r="N17" s="12" t="s">
        <v>69</v>
      </c>
    </row>
    <row r="18" spans="1:14" ht="43.5" x14ac:dyDescent="0.35">
      <c r="A18" s="8">
        <v>46252</v>
      </c>
      <c r="B18" s="9">
        <v>420</v>
      </c>
      <c r="C18" s="9">
        <v>30</v>
      </c>
      <c r="D18" s="9">
        <v>180</v>
      </c>
      <c r="E18" s="9">
        <v>90</v>
      </c>
      <c r="F18" s="9">
        <v>250</v>
      </c>
      <c r="G18" s="9">
        <v>5</v>
      </c>
      <c r="H18" s="9">
        <v>30</v>
      </c>
      <c r="I18" s="10">
        <f t="shared" si="0"/>
        <v>1000</v>
      </c>
      <c r="J18" s="10">
        <f t="shared" si="1"/>
        <v>440</v>
      </c>
      <c r="K18" s="11" t="s">
        <v>49</v>
      </c>
      <c r="L18" s="11" t="s">
        <v>50</v>
      </c>
      <c r="M18" s="11" t="s">
        <v>51</v>
      </c>
      <c r="N18" s="12" t="s">
        <v>70</v>
      </c>
    </row>
    <row r="19" spans="1:14" ht="43.5" x14ac:dyDescent="0.35">
      <c r="A19" s="8">
        <v>46253</v>
      </c>
      <c r="B19" s="9">
        <v>420</v>
      </c>
      <c r="C19" s="9">
        <v>30</v>
      </c>
      <c r="D19" s="9">
        <v>190</v>
      </c>
      <c r="E19" s="9">
        <v>75</v>
      </c>
      <c r="F19" s="9">
        <v>200</v>
      </c>
      <c r="G19" s="9">
        <v>4</v>
      </c>
      <c r="H19" s="9">
        <v>30</v>
      </c>
      <c r="I19" s="10">
        <f t="shared" si="0"/>
        <v>945</v>
      </c>
      <c r="J19" s="10">
        <f t="shared" si="1"/>
        <v>495</v>
      </c>
      <c r="K19" s="11" t="s">
        <v>59</v>
      </c>
      <c r="L19" s="11" t="s">
        <v>105</v>
      </c>
      <c r="M19" s="11" t="s">
        <v>60</v>
      </c>
      <c r="N19" s="12" t="s">
        <v>71</v>
      </c>
    </row>
    <row r="20" spans="1:14" ht="43.5" x14ac:dyDescent="0.35">
      <c r="A20" s="8">
        <v>46254</v>
      </c>
      <c r="B20" s="9">
        <v>420</v>
      </c>
      <c r="C20" s="9">
        <v>30</v>
      </c>
      <c r="D20" s="9">
        <v>150</v>
      </c>
      <c r="E20" s="9">
        <v>60</v>
      </c>
      <c r="F20" s="9">
        <v>300</v>
      </c>
      <c r="G20" s="9">
        <v>6</v>
      </c>
      <c r="H20" s="9">
        <v>30</v>
      </c>
      <c r="I20" s="10">
        <f t="shared" si="0"/>
        <v>990</v>
      </c>
      <c r="J20" s="10">
        <f t="shared" si="1"/>
        <v>450</v>
      </c>
      <c r="K20" s="11" t="s">
        <v>49</v>
      </c>
      <c r="L20" s="11" t="s">
        <v>50</v>
      </c>
      <c r="M20" s="11" t="s">
        <v>60</v>
      </c>
      <c r="N20" s="12" t="s">
        <v>72</v>
      </c>
    </row>
    <row r="21" spans="1:14" ht="43.5" x14ac:dyDescent="0.35">
      <c r="A21" s="8">
        <v>46255</v>
      </c>
      <c r="B21" s="9">
        <v>420</v>
      </c>
      <c r="C21" s="9">
        <v>20</v>
      </c>
      <c r="D21" s="9">
        <v>120</v>
      </c>
      <c r="E21" s="9">
        <v>60</v>
      </c>
      <c r="F21" s="9">
        <v>350</v>
      </c>
      <c r="G21" s="9">
        <v>7</v>
      </c>
      <c r="H21" s="9">
        <v>30</v>
      </c>
      <c r="I21" s="10">
        <f t="shared" si="0"/>
        <v>1000</v>
      </c>
      <c r="J21" s="10">
        <f t="shared" si="1"/>
        <v>440</v>
      </c>
      <c r="K21" s="11" t="s">
        <v>49</v>
      </c>
      <c r="L21" s="11" t="s">
        <v>105</v>
      </c>
      <c r="M21" s="11" t="s">
        <v>60</v>
      </c>
      <c r="N21" s="12" t="s">
        <v>108</v>
      </c>
    </row>
    <row r="22" spans="1:14" ht="43.5" x14ac:dyDescent="0.35">
      <c r="A22" s="8">
        <v>46256</v>
      </c>
      <c r="B22" s="9">
        <v>480</v>
      </c>
      <c r="C22" s="9">
        <v>40</v>
      </c>
      <c r="D22" s="9">
        <v>200</v>
      </c>
      <c r="E22" s="9">
        <v>120</v>
      </c>
      <c r="F22" s="9">
        <v>0</v>
      </c>
      <c r="G22" s="9">
        <v>0</v>
      </c>
      <c r="H22" s="9">
        <v>60</v>
      </c>
      <c r="I22" s="10">
        <f t="shared" si="0"/>
        <v>900</v>
      </c>
      <c r="J22" s="10">
        <f t="shared" si="1"/>
        <v>540</v>
      </c>
      <c r="K22" s="11" t="s">
        <v>59</v>
      </c>
      <c r="L22" s="11" t="s">
        <v>105</v>
      </c>
      <c r="M22" s="11" t="s">
        <v>60</v>
      </c>
      <c r="N22" s="12" t="s">
        <v>109</v>
      </c>
    </row>
    <row r="23" spans="1:14" ht="43.5" x14ac:dyDescent="0.35">
      <c r="A23" s="8">
        <v>46257</v>
      </c>
      <c r="B23" s="9">
        <v>480</v>
      </c>
      <c r="C23" s="9">
        <v>45</v>
      </c>
      <c r="D23" s="9">
        <v>280</v>
      </c>
      <c r="E23" s="9">
        <v>120</v>
      </c>
      <c r="F23" s="9">
        <v>0</v>
      </c>
      <c r="G23" s="9">
        <v>0</v>
      </c>
      <c r="H23" s="9">
        <v>60</v>
      </c>
      <c r="I23" s="10">
        <f t="shared" si="0"/>
        <v>985</v>
      </c>
      <c r="J23" s="10">
        <f t="shared" si="1"/>
        <v>455</v>
      </c>
      <c r="K23" s="11" t="s">
        <v>59</v>
      </c>
      <c r="L23" s="11" t="s">
        <v>105</v>
      </c>
      <c r="M23" s="11" t="s">
        <v>60</v>
      </c>
      <c r="N23" s="12" t="s">
        <v>73</v>
      </c>
    </row>
    <row r="24" spans="1:14" ht="43.5" x14ac:dyDescent="0.35">
      <c r="A24" s="8">
        <v>46258</v>
      </c>
      <c r="B24" s="9">
        <v>420</v>
      </c>
      <c r="C24" s="9">
        <v>30</v>
      </c>
      <c r="D24" s="9">
        <v>180</v>
      </c>
      <c r="E24" s="9">
        <v>90</v>
      </c>
      <c r="F24" s="9">
        <v>250</v>
      </c>
      <c r="G24" s="9">
        <v>5</v>
      </c>
      <c r="H24" s="9">
        <v>30</v>
      </c>
      <c r="I24" s="10">
        <f t="shared" si="0"/>
        <v>1000</v>
      </c>
      <c r="J24" s="10">
        <f t="shared" si="1"/>
        <v>440</v>
      </c>
      <c r="K24" s="11" t="s">
        <v>59</v>
      </c>
      <c r="L24" s="11" t="s">
        <v>105</v>
      </c>
      <c r="M24" s="11" t="s">
        <v>60</v>
      </c>
      <c r="N24" s="12" t="s">
        <v>74</v>
      </c>
    </row>
    <row r="25" spans="1:14" ht="43.5" x14ac:dyDescent="0.35">
      <c r="A25" s="8">
        <v>46259</v>
      </c>
      <c r="B25" s="9">
        <v>420</v>
      </c>
      <c r="C25" s="9">
        <v>30</v>
      </c>
      <c r="D25" s="9">
        <v>180</v>
      </c>
      <c r="E25" s="9">
        <v>90</v>
      </c>
      <c r="F25" s="9">
        <v>250</v>
      </c>
      <c r="G25" s="9">
        <v>5</v>
      </c>
      <c r="H25" s="9">
        <v>30</v>
      </c>
      <c r="I25" s="10">
        <f t="shared" si="0"/>
        <v>1000</v>
      </c>
      <c r="J25" s="10">
        <f t="shared" si="1"/>
        <v>440</v>
      </c>
      <c r="K25" s="11" t="s">
        <v>49</v>
      </c>
      <c r="L25" s="11" t="s">
        <v>50</v>
      </c>
      <c r="M25" s="11" t="s">
        <v>51</v>
      </c>
      <c r="N25" s="12" t="s">
        <v>75</v>
      </c>
    </row>
    <row r="26" spans="1:14" ht="43.5" x14ac:dyDescent="0.35">
      <c r="A26" s="8">
        <v>46260</v>
      </c>
      <c r="B26" s="9">
        <v>420</v>
      </c>
      <c r="C26" s="9">
        <v>30</v>
      </c>
      <c r="D26" s="9">
        <v>190</v>
      </c>
      <c r="E26" s="9">
        <v>70</v>
      </c>
      <c r="F26" s="9">
        <v>200</v>
      </c>
      <c r="G26" s="9">
        <v>4</v>
      </c>
      <c r="H26" s="9">
        <v>30</v>
      </c>
      <c r="I26" s="10">
        <f t="shared" si="0"/>
        <v>940</v>
      </c>
      <c r="J26" s="10">
        <f t="shared" si="1"/>
        <v>500</v>
      </c>
      <c r="K26" s="11" t="s">
        <v>59</v>
      </c>
      <c r="L26" s="11" t="s">
        <v>50</v>
      </c>
      <c r="M26" s="11" t="s">
        <v>60</v>
      </c>
      <c r="N26" s="12" t="s">
        <v>110</v>
      </c>
    </row>
    <row r="27" spans="1:14" ht="43.5" x14ac:dyDescent="0.35">
      <c r="A27" s="8">
        <v>46261</v>
      </c>
      <c r="B27" s="9">
        <v>420</v>
      </c>
      <c r="C27" s="9">
        <v>30</v>
      </c>
      <c r="D27" s="9">
        <v>150</v>
      </c>
      <c r="E27" s="9">
        <v>60</v>
      </c>
      <c r="F27" s="9">
        <v>300</v>
      </c>
      <c r="G27" s="9">
        <v>6</v>
      </c>
      <c r="H27" s="9">
        <v>30</v>
      </c>
      <c r="I27" s="10">
        <f t="shared" si="0"/>
        <v>990</v>
      </c>
      <c r="J27" s="10">
        <f t="shared" si="1"/>
        <v>450</v>
      </c>
      <c r="K27" s="11" t="s">
        <v>49</v>
      </c>
      <c r="L27" s="11" t="s">
        <v>50</v>
      </c>
      <c r="M27" s="11" t="s">
        <v>51</v>
      </c>
      <c r="N27" s="12" t="s">
        <v>76</v>
      </c>
    </row>
    <row r="28" spans="1:14" ht="43.5" x14ac:dyDescent="0.35">
      <c r="A28" s="8">
        <v>46262</v>
      </c>
      <c r="B28" s="9">
        <v>420</v>
      </c>
      <c r="C28" s="9">
        <v>20</v>
      </c>
      <c r="D28" s="9">
        <v>60</v>
      </c>
      <c r="E28" s="9">
        <v>60</v>
      </c>
      <c r="F28" s="9">
        <v>350</v>
      </c>
      <c r="G28" s="9">
        <v>7</v>
      </c>
      <c r="H28" s="9">
        <v>30</v>
      </c>
      <c r="I28" s="10">
        <f t="shared" si="0"/>
        <v>940</v>
      </c>
      <c r="J28" s="10">
        <f t="shared" si="1"/>
        <v>500</v>
      </c>
      <c r="K28" s="11" t="s">
        <v>49</v>
      </c>
      <c r="L28" s="11" t="s">
        <v>105</v>
      </c>
      <c r="M28" s="11" t="s">
        <v>57</v>
      </c>
      <c r="N28" s="12" t="s">
        <v>92</v>
      </c>
    </row>
    <row r="29" spans="1:14" ht="43.5" x14ac:dyDescent="0.35">
      <c r="A29" s="8">
        <v>46263</v>
      </c>
      <c r="B29" s="9">
        <v>480</v>
      </c>
      <c r="C29" s="9">
        <v>40</v>
      </c>
      <c r="D29" s="9">
        <v>200</v>
      </c>
      <c r="E29" s="9">
        <v>120</v>
      </c>
      <c r="F29" s="9">
        <v>0</v>
      </c>
      <c r="G29" s="9">
        <v>0</v>
      </c>
      <c r="H29" s="9">
        <v>60</v>
      </c>
      <c r="I29" s="10">
        <f t="shared" si="0"/>
        <v>900</v>
      </c>
      <c r="J29" s="10">
        <f t="shared" si="1"/>
        <v>540</v>
      </c>
      <c r="K29" s="11" t="s">
        <v>59</v>
      </c>
      <c r="L29" s="11" t="s">
        <v>105</v>
      </c>
      <c r="M29" s="11" t="s">
        <v>60</v>
      </c>
      <c r="N29" s="12" t="s">
        <v>77</v>
      </c>
    </row>
    <row r="30" spans="1:14" ht="43.5" x14ac:dyDescent="0.35">
      <c r="A30" s="8">
        <v>46264</v>
      </c>
      <c r="B30" s="9">
        <v>480</v>
      </c>
      <c r="C30" s="9">
        <v>45</v>
      </c>
      <c r="D30" s="9">
        <v>280</v>
      </c>
      <c r="E30" s="9">
        <v>120</v>
      </c>
      <c r="F30" s="9">
        <v>0</v>
      </c>
      <c r="G30" s="9">
        <v>0</v>
      </c>
      <c r="H30" s="9">
        <v>60</v>
      </c>
      <c r="I30" s="10">
        <f t="shared" si="0"/>
        <v>985</v>
      </c>
      <c r="J30" s="10">
        <f t="shared" si="1"/>
        <v>455</v>
      </c>
      <c r="K30" s="11" t="s">
        <v>59</v>
      </c>
      <c r="L30" s="11" t="s">
        <v>105</v>
      </c>
      <c r="M30" s="11" t="s">
        <v>60</v>
      </c>
      <c r="N30" s="12" t="s">
        <v>78</v>
      </c>
    </row>
    <row r="31" spans="1:14" ht="43.5" x14ac:dyDescent="0.35">
      <c r="A31" s="8">
        <v>46265</v>
      </c>
      <c r="B31" s="9">
        <v>420</v>
      </c>
      <c r="C31" s="9">
        <v>30</v>
      </c>
      <c r="D31" s="9">
        <v>180</v>
      </c>
      <c r="E31" s="9">
        <v>90</v>
      </c>
      <c r="F31" s="9">
        <v>250</v>
      </c>
      <c r="G31" s="9">
        <v>5</v>
      </c>
      <c r="H31" s="9">
        <v>30</v>
      </c>
      <c r="I31" s="10">
        <f t="shared" si="0"/>
        <v>1000</v>
      </c>
      <c r="J31" s="10">
        <f t="shared" si="1"/>
        <v>440</v>
      </c>
      <c r="K31" s="11" t="s">
        <v>49</v>
      </c>
      <c r="L31" s="11" t="s">
        <v>105</v>
      </c>
      <c r="M31" s="11" t="s">
        <v>51</v>
      </c>
      <c r="N31" s="12" t="s">
        <v>79</v>
      </c>
    </row>
    <row r="32" spans="1:14" ht="43.5" x14ac:dyDescent="0.35">
      <c r="A32" s="8">
        <v>46266</v>
      </c>
      <c r="B32" s="9">
        <v>420</v>
      </c>
      <c r="C32" s="9">
        <v>30</v>
      </c>
      <c r="D32" s="9">
        <v>180</v>
      </c>
      <c r="E32" s="9">
        <v>90</v>
      </c>
      <c r="F32" s="9">
        <v>250</v>
      </c>
      <c r="G32" s="9">
        <v>5</v>
      </c>
      <c r="H32" s="9">
        <v>30</v>
      </c>
      <c r="I32" s="10">
        <f t="shared" si="0"/>
        <v>1000</v>
      </c>
      <c r="J32" s="10">
        <f t="shared" si="1"/>
        <v>440</v>
      </c>
      <c r="K32" s="11" t="s">
        <v>59</v>
      </c>
      <c r="L32" s="11" t="s">
        <v>50</v>
      </c>
      <c r="M32" s="11" t="s">
        <v>51</v>
      </c>
      <c r="N32" s="12" t="s">
        <v>101</v>
      </c>
    </row>
    <row r="33" spans="1:14" ht="43.5" x14ac:dyDescent="0.35">
      <c r="A33" s="8">
        <v>46267</v>
      </c>
      <c r="B33" s="9">
        <v>420</v>
      </c>
      <c r="C33" s="9">
        <v>30</v>
      </c>
      <c r="D33" s="9">
        <v>190</v>
      </c>
      <c r="E33" s="9">
        <v>70</v>
      </c>
      <c r="F33" s="9">
        <v>200</v>
      </c>
      <c r="G33" s="9">
        <v>4</v>
      </c>
      <c r="H33" s="9">
        <v>30</v>
      </c>
      <c r="I33" s="10">
        <f t="shared" si="0"/>
        <v>940</v>
      </c>
      <c r="J33" s="10">
        <f t="shared" si="1"/>
        <v>500</v>
      </c>
      <c r="K33" s="11" t="s">
        <v>59</v>
      </c>
      <c r="L33" s="11" t="s">
        <v>105</v>
      </c>
      <c r="M33" s="11" t="s">
        <v>60</v>
      </c>
      <c r="N33" s="12" t="s">
        <v>114</v>
      </c>
    </row>
    <row r="34" spans="1:14" ht="43.5" x14ac:dyDescent="0.35">
      <c r="A34" s="8">
        <v>46268</v>
      </c>
      <c r="B34" s="9">
        <v>420</v>
      </c>
      <c r="C34" s="9">
        <v>30</v>
      </c>
      <c r="D34" s="9">
        <v>150</v>
      </c>
      <c r="E34" s="9">
        <v>60</v>
      </c>
      <c r="F34" s="9">
        <v>300</v>
      </c>
      <c r="G34" s="9">
        <v>6</v>
      </c>
      <c r="H34" s="9">
        <v>30</v>
      </c>
      <c r="I34" s="10">
        <f t="shared" si="0"/>
        <v>990</v>
      </c>
      <c r="J34" s="10">
        <f t="shared" si="1"/>
        <v>450</v>
      </c>
      <c r="K34" s="11" t="s">
        <v>49</v>
      </c>
      <c r="L34" s="11" t="s">
        <v>50</v>
      </c>
      <c r="M34" s="11" t="s">
        <v>51</v>
      </c>
      <c r="N34" s="12" t="s">
        <v>115</v>
      </c>
    </row>
    <row r="35" spans="1:14" ht="29" x14ac:dyDescent="0.35">
      <c r="A35" s="8">
        <v>46269</v>
      </c>
      <c r="B35" s="9">
        <v>420</v>
      </c>
      <c r="C35" s="9">
        <v>20</v>
      </c>
      <c r="D35" s="9">
        <v>120</v>
      </c>
      <c r="E35" s="9">
        <v>60</v>
      </c>
      <c r="F35" s="9">
        <v>350</v>
      </c>
      <c r="G35" s="9">
        <v>7</v>
      </c>
      <c r="H35" s="9">
        <v>30</v>
      </c>
      <c r="I35" s="10">
        <f t="shared" si="0"/>
        <v>1000</v>
      </c>
      <c r="J35" s="10">
        <f t="shared" si="1"/>
        <v>440</v>
      </c>
      <c r="K35" s="11" t="s">
        <v>49</v>
      </c>
      <c r="L35" s="11" t="s">
        <v>105</v>
      </c>
      <c r="M35" s="11" t="s">
        <v>51</v>
      </c>
      <c r="N35" s="12" t="s">
        <v>116</v>
      </c>
    </row>
    <row r="36" spans="1:14" ht="43.5" x14ac:dyDescent="0.35">
      <c r="A36" s="8">
        <v>46270</v>
      </c>
      <c r="B36" s="9">
        <v>480</v>
      </c>
      <c r="C36" s="9">
        <v>40</v>
      </c>
      <c r="D36" s="9">
        <v>200</v>
      </c>
      <c r="E36" s="9">
        <v>120</v>
      </c>
      <c r="F36" s="9">
        <v>0</v>
      </c>
      <c r="G36" s="9">
        <v>0</v>
      </c>
      <c r="H36" s="9">
        <v>60</v>
      </c>
      <c r="I36" s="10">
        <f t="shared" si="0"/>
        <v>900</v>
      </c>
      <c r="J36" s="10">
        <f t="shared" si="1"/>
        <v>540</v>
      </c>
      <c r="K36" s="11" t="s">
        <v>59</v>
      </c>
      <c r="L36" s="11" t="s">
        <v>105</v>
      </c>
      <c r="M36" s="11" t="s">
        <v>60</v>
      </c>
      <c r="N36" s="12" t="s">
        <v>111</v>
      </c>
    </row>
    <row r="37" spans="1:14" ht="58" x14ac:dyDescent="0.35">
      <c r="A37" s="8">
        <v>46271</v>
      </c>
      <c r="B37" s="9">
        <v>480</v>
      </c>
      <c r="C37" s="9">
        <v>45</v>
      </c>
      <c r="D37" s="9">
        <v>280</v>
      </c>
      <c r="E37" s="9">
        <v>120</v>
      </c>
      <c r="F37" s="9">
        <v>0</v>
      </c>
      <c r="G37" s="9">
        <v>0</v>
      </c>
      <c r="H37" s="9">
        <v>60</v>
      </c>
      <c r="I37" s="10">
        <f t="shared" si="0"/>
        <v>985</v>
      </c>
      <c r="J37" s="10">
        <f t="shared" si="1"/>
        <v>455</v>
      </c>
      <c r="K37" s="11" t="s">
        <v>59</v>
      </c>
      <c r="L37" s="11" t="s">
        <v>105</v>
      </c>
      <c r="M37" s="11" t="s">
        <v>60</v>
      </c>
      <c r="N37" s="12" t="s">
        <v>80</v>
      </c>
    </row>
    <row r="38" spans="1:14" ht="43.5" x14ac:dyDescent="0.35">
      <c r="A38" s="8">
        <v>46272</v>
      </c>
      <c r="B38" s="9">
        <v>420</v>
      </c>
      <c r="C38" s="9">
        <v>30</v>
      </c>
      <c r="D38" s="9">
        <v>180</v>
      </c>
      <c r="E38" s="9">
        <v>90</v>
      </c>
      <c r="F38" s="9">
        <v>250</v>
      </c>
      <c r="G38" s="9">
        <v>5</v>
      </c>
      <c r="H38" s="9">
        <v>30</v>
      </c>
      <c r="I38" s="10">
        <f t="shared" si="0"/>
        <v>1000</v>
      </c>
      <c r="J38" s="10">
        <f t="shared" si="1"/>
        <v>440</v>
      </c>
      <c r="K38" s="11" t="s">
        <v>59</v>
      </c>
      <c r="L38" s="11" t="s">
        <v>50</v>
      </c>
      <c r="M38" s="11" t="s">
        <v>51</v>
      </c>
      <c r="N38" s="12" t="s">
        <v>113</v>
      </c>
    </row>
    <row r="39" spans="1:14" ht="43.5" x14ac:dyDescent="0.35">
      <c r="A39" s="8">
        <v>46273</v>
      </c>
      <c r="B39" s="9">
        <v>420</v>
      </c>
      <c r="C39" s="9">
        <v>30</v>
      </c>
      <c r="D39" s="9">
        <v>180</v>
      </c>
      <c r="E39" s="9">
        <v>90</v>
      </c>
      <c r="F39" s="9">
        <v>250</v>
      </c>
      <c r="G39" s="9">
        <v>5</v>
      </c>
      <c r="H39" s="9">
        <v>30</v>
      </c>
      <c r="I39" s="10">
        <f t="shared" si="0"/>
        <v>1000</v>
      </c>
      <c r="J39" s="10">
        <f t="shared" si="1"/>
        <v>440</v>
      </c>
      <c r="K39" s="11" t="s">
        <v>59</v>
      </c>
      <c r="L39" s="11" t="s">
        <v>50</v>
      </c>
      <c r="M39" s="11" t="s">
        <v>51</v>
      </c>
      <c r="N39" s="12" t="s">
        <v>81</v>
      </c>
    </row>
    <row r="40" spans="1:14" ht="43.5" x14ac:dyDescent="0.35">
      <c r="A40" s="8">
        <v>46274</v>
      </c>
      <c r="B40" s="9">
        <v>420</v>
      </c>
      <c r="C40" s="9">
        <v>30</v>
      </c>
      <c r="D40" s="9">
        <v>190</v>
      </c>
      <c r="E40" s="9">
        <v>70</v>
      </c>
      <c r="F40" s="9">
        <v>200</v>
      </c>
      <c r="G40" s="9">
        <v>4</v>
      </c>
      <c r="H40" s="9">
        <v>30</v>
      </c>
      <c r="I40" s="10">
        <f t="shared" si="0"/>
        <v>940</v>
      </c>
      <c r="J40" s="10">
        <f t="shared" si="1"/>
        <v>500</v>
      </c>
      <c r="K40" s="11" t="s">
        <v>59</v>
      </c>
      <c r="L40" s="11" t="s">
        <v>105</v>
      </c>
      <c r="M40" s="11" t="s">
        <v>60</v>
      </c>
      <c r="N40" s="12" t="s">
        <v>82</v>
      </c>
    </row>
    <row r="41" spans="1:14" ht="43.5" x14ac:dyDescent="0.35">
      <c r="A41" s="8">
        <v>46275</v>
      </c>
      <c r="B41" s="9">
        <v>420</v>
      </c>
      <c r="C41" s="9">
        <v>30</v>
      </c>
      <c r="D41" s="9">
        <v>180</v>
      </c>
      <c r="E41" s="9">
        <v>60</v>
      </c>
      <c r="F41" s="9">
        <v>300</v>
      </c>
      <c r="G41" s="9">
        <v>6</v>
      </c>
      <c r="H41" s="9">
        <v>30</v>
      </c>
      <c r="I41" s="10">
        <f t="shared" si="0"/>
        <v>1020</v>
      </c>
      <c r="J41" s="10">
        <f t="shared" si="1"/>
        <v>420</v>
      </c>
      <c r="K41" s="11" t="s">
        <v>49</v>
      </c>
      <c r="L41" s="11" t="s">
        <v>56</v>
      </c>
      <c r="M41" s="11" t="s">
        <v>51</v>
      </c>
      <c r="N41" s="12" t="s">
        <v>83</v>
      </c>
    </row>
    <row r="42" spans="1:14" ht="43.5" x14ac:dyDescent="0.35">
      <c r="A42" s="8">
        <v>46276</v>
      </c>
      <c r="B42" s="9">
        <v>420</v>
      </c>
      <c r="C42" s="9">
        <v>20</v>
      </c>
      <c r="D42" s="9">
        <v>120</v>
      </c>
      <c r="E42" s="9">
        <v>60</v>
      </c>
      <c r="F42" s="9">
        <v>350</v>
      </c>
      <c r="G42" s="9">
        <v>7</v>
      </c>
      <c r="H42" s="9">
        <v>30</v>
      </c>
      <c r="I42" s="10">
        <f t="shared" si="0"/>
        <v>1000</v>
      </c>
      <c r="J42" s="10">
        <f t="shared" si="1"/>
        <v>440</v>
      </c>
      <c r="K42" s="11" t="s">
        <v>49</v>
      </c>
      <c r="L42" s="11" t="s">
        <v>105</v>
      </c>
      <c r="M42" s="11" t="s">
        <v>57</v>
      </c>
      <c r="N42" s="12" t="s">
        <v>84</v>
      </c>
    </row>
    <row r="43" spans="1:14" ht="58" x14ac:dyDescent="0.35">
      <c r="A43" s="8">
        <v>46277</v>
      </c>
      <c r="B43" s="9">
        <v>480</v>
      </c>
      <c r="C43" s="9">
        <v>40</v>
      </c>
      <c r="D43" s="9">
        <v>200</v>
      </c>
      <c r="E43" s="9">
        <v>120</v>
      </c>
      <c r="F43" s="9">
        <v>0</v>
      </c>
      <c r="G43" s="9">
        <v>0</v>
      </c>
      <c r="H43" s="9">
        <v>60</v>
      </c>
      <c r="I43" s="10">
        <f t="shared" si="0"/>
        <v>900</v>
      </c>
      <c r="J43" s="10">
        <f t="shared" si="1"/>
        <v>540</v>
      </c>
      <c r="K43" s="11" t="s">
        <v>59</v>
      </c>
      <c r="L43" s="11" t="s">
        <v>105</v>
      </c>
      <c r="M43" s="11" t="s">
        <v>60</v>
      </c>
      <c r="N43" s="12" t="s">
        <v>85</v>
      </c>
    </row>
    <row r="44" spans="1:14" ht="43.5" x14ac:dyDescent="0.35">
      <c r="A44" s="8">
        <v>46278</v>
      </c>
      <c r="B44" s="9">
        <v>480</v>
      </c>
      <c r="C44" s="9">
        <v>45</v>
      </c>
      <c r="D44" s="9">
        <v>280</v>
      </c>
      <c r="E44" s="9">
        <v>120</v>
      </c>
      <c r="F44" s="9">
        <v>0</v>
      </c>
      <c r="G44" s="9">
        <v>0</v>
      </c>
      <c r="H44" s="9">
        <v>60</v>
      </c>
      <c r="I44" s="10">
        <f t="shared" si="0"/>
        <v>985</v>
      </c>
      <c r="J44" s="10">
        <f t="shared" si="1"/>
        <v>455</v>
      </c>
      <c r="K44" s="11" t="s">
        <v>59</v>
      </c>
      <c r="L44" s="11" t="s">
        <v>105</v>
      </c>
      <c r="M44" s="11" t="s">
        <v>60</v>
      </c>
      <c r="N44" s="12" t="s">
        <v>86</v>
      </c>
    </row>
    <row r="45" spans="1:14" ht="43.5" x14ac:dyDescent="0.35">
      <c r="A45" s="8">
        <v>46279</v>
      </c>
      <c r="B45" s="9">
        <v>420</v>
      </c>
      <c r="C45" s="9">
        <v>30</v>
      </c>
      <c r="D45" s="9">
        <v>180</v>
      </c>
      <c r="E45" s="9">
        <v>90</v>
      </c>
      <c r="F45" s="9">
        <v>250</v>
      </c>
      <c r="G45" s="9">
        <v>5</v>
      </c>
      <c r="H45" s="9">
        <v>30</v>
      </c>
      <c r="I45" s="10">
        <f t="shared" si="0"/>
        <v>1000</v>
      </c>
      <c r="J45" s="10">
        <f t="shared" si="1"/>
        <v>440</v>
      </c>
      <c r="K45" s="11" t="s">
        <v>59</v>
      </c>
      <c r="L45" s="11" t="s">
        <v>50</v>
      </c>
      <c r="M45" s="11" t="s">
        <v>60</v>
      </c>
      <c r="N45" s="12" t="s">
        <v>101</v>
      </c>
    </row>
    <row r="46" spans="1:14" ht="29" x14ac:dyDescent="0.35">
      <c r="A46" s="8">
        <v>46280</v>
      </c>
      <c r="B46" s="9">
        <v>420</v>
      </c>
      <c r="C46" s="9">
        <v>30</v>
      </c>
      <c r="D46" s="9">
        <v>180</v>
      </c>
      <c r="E46" s="9">
        <v>90</v>
      </c>
      <c r="F46" s="9">
        <v>250</v>
      </c>
      <c r="G46" s="9">
        <v>5</v>
      </c>
      <c r="H46" s="9">
        <v>30</v>
      </c>
      <c r="I46" s="10">
        <f t="shared" si="0"/>
        <v>1000</v>
      </c>
      <c r="J46" s="10">
        <f t="shared" si="1"/>
        <v>440</v>
      </c>
      <c r="K46" s="11" t="s">
        <v>49</v>
      </c>
      <c r="L46" s="11" t="s">
        <v>50</v>
      </c>
      <c r="M46" s="11" t="s">
        <v>51</v>
      </c>
      <c r="N46" s="12" t="s">
        <v>112</v>
      </c>
    </row>
    <row r="47" spans="1:14" ht="43.5" x14ac:dyDescent="0.35">
      <c r="A47" s="8">
        <v>46281</v>
      </c>
      <c r="B47" s="9">
        <v>420</v>
      </c>
      <c r="C47" s="9">
        <v>30</v>
      </c>
      <c r="D47" s="9">
        <v>190</v>
      </c>
      <c r="E47" s="9">
        <v>70</v>
      </c>
      <c r="F47" s="9">
        <v>200</v>
      </c>
      <c r="G47" s="9">
        <v>4</v>
      </c>
      <c r="H47" s="9">
        <v>30</v>
      </c>
      <c r="I47" s="10">
        <f t="shared" si="0"/>
        <v>940</v>
      </c>
      <c r="J47" s="10">
        <f t="shared" si="1"/>
        <v>500</v>
      </c>
      <c r="K47" s="11" t="s">
        <v>59</v>
      </c>
      <c r="L47" s="11" t="s">
        <v>105</v>
      </c>
      <c r="M47" s="11" t="s">
        <v>60</v>
      </c>
      <c r="N47" s="12" t="s">
        <v>87</v>
      </c>
    </row>
    <row r="48" spans="1:14" ht="43.5" x14ac:dyDescent="0.35">
      <c r="A48" s="8">
        <v>46282</v>
      </c>
      <c r="B48" s="9">
        <v>420</v>
      </c>
      <c r="C48" s="9">
        <v>30</v>
      </c>
      <c r="D48" s="9">
        <v>150</v>
      </c>
      <c r="E48" s="9">
        <v>60</v>
      </c>
      <c r="F48" s="9">
        <v>300</v>
      </c>
      <c r="G48" s="9">
        <v>6</v>
      </c>
      <c r="H48" s="9">
        <v>30</v>
      </c>
      <c r="I48" s="10">
        <f t="shared" si="0"/>
        <v>990</v>
      </c>
      <c r="J48" s="10">
        <f t="shared" si="1"/>
        <v>450</v>
      </c>
      <c r="K48" s="11" t="s">
        <v>59</v>
      </c>
      <c r="L48" s="11" t="s">
        <v>105</v>
      </c>
      <c r="M48" s="11" t="s">
        <v>60</v>
      </c>
      <c r="N48" s="12" t="s">
        <v>88</v>
      </c>
    </row>
    <row r="49" spans="1:14" ht="43.5" x14ac:dyDescent="0.35">
      <c r="A49" s="8">
        <v>46283</v>
      </c>
      <c r="B49" s="9">
        <v>420</v>
      </c>
      <c r="C49" s="9">
        <v>20</v>
      </c>
      <c r="D49" s="9">
        <v>120</v>
      </c>
      <c r="E49" s="9">
        <v>60</v>
      </c>
      <c r="F49" s="9">
        <v>350</v>
      </c>
      <c r="G49" s="9">
        <v>7</v>
      </c>
      <c r="H49" s="9">
        <v>30</v>
      </c>
      <c r="I49" s="10">
        <f t="shared" si="0"/>
        <v>1000</v>
      </c>
      <c r="J49" s="10">
        <f t="shared" si="1"/>
        <v>440</v>
      </c>
      <c r="K49" s="11" t="s">
        <v>49</v>
      </c>
      <c r="L49" s="11" t="s">
        <v>105</v>
      </c>
      <c r="M49" s="11" t="s">
        <v>57</v>
      </c>
      <c r="N49" s="12" t="s">
        <v>89</v>
      </c>
    </row>
    <row r="50" spans="1:14" ht="43.5" x14ac:dyDescent="0.35">
      <c r="A50" s="8">
        <v>46284</v>
      </c>
      <c r="B50" s="9">
        <v>480</v>
      </c>
      <c r="C50" s="9">
        <v>40</v>
      </c>
      <c r="D50" s="9">
        <v>200</v>
      </c>
      <c r="E50" s="9">
        <v>120</v>
      </c>
      <c r="F50" s="9">
        <v>0</v>
      </c>
      <c r="G50" s="9">
        <v>0</v>
      </c>
      <c r="H50" s="9">
        <v>60</v>
      </c>
      <c r="I50" s="10">
        <f t="shared" si="0"/>
        <v>900</v>
      </c>
      <c r="J50" s="10">
        <f t="shared" si="1"/>
        <v>540</v>
      </c>
      <c r="K50" s="11" t="s">
        <v>59</v>
      </c>
      <c r="L50" s="11" t="s">
        <v>105</v>
      </c>
      <c r="M50" s="11" t="s">
        <v>60</v>
      </c>
      <c r="N50" s="12" t="s">
        <v>100</v>
      </c>
    </row>
    <row r="51" spans="1:14" ht="43.5" x14ac:dyDescent="0.35">
      <c r="A51" s="8">
        <v>46285</v>
      </c>
      <c r="B51" s="9">
        <v>480</v>
      </c>
      <c r="C51" s="9">
        <v>45</v>
      </c>
      <c r="D51" s="9">
        <v>280</v>
      </c>
      <c r="E51" s="9">
        <v>120</v>
      </c>
      <c r="F51" s="9">
        <v>0</v>
      </c>
      <c r="G51" s="9">
        <v>0</v>
      </c>
      <c r="H51" s="9">
        <v>60</v>
      </c>
      <c r="I51" s="10">
        <f t="shared" si="0"/>
        <v>985</v>
      </c>
      <c r="J51" s="10">
        <f t="shared" si="1"/>
        <v>455</v>
      </c>
      <c r="K51" s="11" t="s">
        <v>59</v>
      </c>
      <c r="L51" s="11" t="s">
        <v>105</v>
      </c>
      <c r="M51" s="11" t="s">
        <v>60</v>
      </c>
      <c r="N51" s="12" t="s">
        <v>100</v>
      </c>
    </row>
    <row r="52" spans="1:14" ht="43.5" x14ac:dyDescent="0.35">
      <c r="A52" s="8">
        <v>46286</v>
      </c>
      <c r="B52" s="9">
        <v>420</v>
      </c>
      <c r="C52" s="9">
        <v>30</v>
      </c>
      <c r="D52" s="9">
        <v>180</v>
      </c>
      <c r="E52" s="9">
        <v>90</v>
      </c>
      <c r="F52" s="9">
        <v>250</v>
      </c>
      <c r="G52" s="9">
        <v>5</v>
      </c>
      <c r="H52" s="9">
        <v>30</v>
      </c>
      <c r="I52" s="10">
        <f t="shared" si="0"/>
        <v>1000</v>
      </c>
      <c r="J52" s="10">
        <f t="shared" si="1"/>
        <v>440</v>
      </c>
      <c r="K52" s="11" t="s">
        <v>49</v>
      </c>
      <c r="L52" s="11" t="s">
        <v>105</v>
      </c>
      <c r="M52" s="11" t="s">
        <v>60</v>
      </c>
      <c r="N52" s="12" t="s">
        <v>101</v>
      </c>
    </row>
    <row r="53" spans="1:14" ht="43.5" x14ac:dyDescent="0.35">
      <c r="A53" s="8">
        <v>46287</v>
      </c>
      <c r="B53" s="9">
        <v>420</v>
      </c>
      <c r="C53" s="9">
        <v>30</v>
      </c>
      <c r="D53" s="9">
        <v>180</v>
      </c>
      <c r="E53" s="9">
        <v>90</v>
      </c>
      <c r="F53" s="9">
        <v>250</v>
      </c>
      <c r="G53" s="9">
        <v>5</v>
      </c>
      <c r="H53" s="9">
        <v>30</v>
      </c>
      <c r="I53" s="10">
        <f t="shared" si="0"/>
        <v>1000</v>
      </c>
      <c r="J53" s="10">
        <f t="shared" si="1"/>
        <v>440</v>
      </c>
      <c r="K53" s="11" t="s">
        <v>49</v>
      </c>
      <c r="L53" s="11" t="s">
        <v>50</v>
      </c>
      <c r="M53" s="11" t="s">
        <v>51</v>
      </c>
      <c r="N53" s="12" t="s">
        <v>90</v>
      </c>
    </row>
    <row r="54" spans="1:14" ht="58" x14ac:dyDescent="0.35">
      <c r="A54" s="8">
        <v>46288</v>
      </c>
      <c r="B54" s="9">
        <v>420</v>
      </c>
      <c r="C54" s="9">
        <v>30</v>
      </c>
      <c r="D54" s="9">
        <v>190</v>
      </c>
      <c r="E54" s="9">
        <v>70</v>
      </c>
      <c r="F54" s="9">
        <v>200</v>
      </c>
      <c r="G54" s="9">
        <v>4</v>
      </c>
      <c r="H54" s="9">
        <v>30</v>
      </c>
      <c r="I54" s="10">
        <f t="shared" si="0"/>
        <v>940</v>
      </c>
      <c r="J54" s="10">
        <f t="shared" si="1"/>
        <v>500</v>
      </c>
      <c r="K54" s="11" t="s">
        <v>59</v>
      </c>
      <c r="L54" s="11" t="s">
        <v>105</v>
      </c>
      <c r="M54" s="11" t="s">
        <v>60</v>
      </c>
      <c r="N54" s="12" t="s">
        <v>91</v>
      </c>
    </row>
    <row r="55" spans="1:14" ht="43.5" x14ac:dyDescent="0.35">
      <c r="A55" s="8">
        <v>46289</v>
      </c>
      <c r="B55" s="9">
        <v>420</v>
      </c>
      <c r="C55" s="9">
        <v>30</v>
      </c>
      <c r="D55" s="9">
        <v>150</v>
      </c>
      <c r="E55" s="9">
        <v>60</v>
      </c>
      <c r="F55" s="9">
        <v>300</v>
      </c>
      <c r="G55" s="9">
        <v>6</v>
      </c>
      <c r="H55" s="9">
        <v>30</v>
      </c>
      <c r="I55" s="10">
        <f t="shared" si="0"/>
        <v>990</v>
      </c>
      <c r="J55" s="10">
        <f t="shared" si="1"/>
        <v>450</v>
      </c>
      <c r="K55" s="11" t="s">
        <v>49</v>
      </c>
      <c r="L55" s="11" t="s">
        <v>105</v>
      </c>
      <c r="M55" s="11" t="s">
        <v>51</v>
      </c>
      <c r="N55" s="12" t="s">
        <v>88</v>
      </c>
    </row>
    <row r="56" spans="1:14" ht="43.5" x14ac:dyDescent="0.35">
      <c r="A56" s="8">
        <v>46290</v>
      </c>
      <c r="B56" s="9">
        <v>420</v>
      </c>
      <c r="C56" s="9">
        <v>20</v>
      </c>
      <c r="D56" s="9">
        <v>120</v>
      </c>
      <c r="E56" s="9">
        <v>60</v>
      </c>
      <c r="F56" s="9">
        <v>350</v>
      </c>
      <c r="G56" s="9">
        <v>7</v>
      </c>
      <c r="H56" s="9">
        <v>30</v>
      </c>
      <c r="I56" s="10">
        <f t="shared" si="0"/>
        <v>1000</v>
      </c>
      <c r="J56" s="10">
        <f t="shared" si="1"/>
        <v>440</v>
      </c>
      <c r="K56" s="11" t="s">
        <v>49</v>
      </c>
      <c r="L56" s="11" t="s">
        <v>105</v>
      </c>
      <c r="M56" s="11" t="s">
        <v>57</v>
      </c>
      <c r="N56" s="12" t="s">
        <v>89</v>
      </c>
    </row>
    <row r="57" spans="1:14" ht="43.5" x14ac:dyDescent="0.35">
      <c r="A57" s="8">
        <v>46291</v>
      </c>
      <c r="B57" s="9">
        <v>480</v>
      </c>
      <c r="C57" s="9">
        <v>40</v>
      </c>
      <c r="D57" s="9">
        <v>200</v>
      </c>
      <c r="E57" s="9">
        <v>120</v>
      </c>
      <c r="F57" s="9">
        <v>0</v>
      </c>
      <c r="G57" s="9">
        <v>0</v>
      </c>
      <c r="H57" s="9">
        <v>60</v>
      </c>
      <c r="I57" s="10">
        <f t="shared" si="0"/>
        <v>900</v>
      </c>
      <c r="J57" s="10">
        <f t="shared" si="1"/>
        <v>540</v>
      </c>
      <c r="K57" s="11" t="s">
        <v>59</v>
      </c>
      <c r="L57" s="11" t="s">
        <v>105</v>
      </c>
      <c r="M57" s="11" t="s">
        <v>60</v>
      </c>
      <c r="N57" s="12" t="s">
        <v>93</v>
      </c>
    </row>
    <row r="58" spans="1:14" ht="58" x14ac:dyDescent="0.35">
      <c r="A58" s="8">
        <v>46292</v>
      </c>
      <c r="B58" s="9">
        <v>480</v>
      </c>
      <c r="C58" s="9">
        <v>45</v>
      </c>
      <c r="D58" s="9">
        <v>280</v>
      </c>
      <c r="E58" s="9">
        <v>120</v>
      </c>
      <c r="F58" s="9">
        <v>0</v>
      </c>
      <c r="G58" s="9">
        <v>0</v>
      </c>
      <c r="H58" s="9">
        <v>60</v>
      </c>
      <c r="I58" s="10">
        <f t="shared" si="0"/>
        <v>985</v>
      </c>
      <c r="J58" s="10">
        <f t="shared" si="1"/>
        <v>455</v>
      </c>
      <c r="K58" s="11" t="s">
        <v>59</v>
      </c>
      <c r="L58" s="11" t="s">
        <v>105</v>
      </c>
      <c r="M58" s="11" t="s">
        <v>60</v>
      </c>
      <c r="N58" s="12" t="s">
        <v>94</v>
      </c>
    </row>
    <row r="59" spans="1:14" ht="43.5" x14ac:dyDescent="0.35">
      <c r="A59" s="8">
        <v>46293</v>
      </c>
      <c r="B59" s="9">
        <v>420</v>
      </c>
      <c r="C59" s="9">
        <v>30</v>
      </c>
      <c r="D59" s="9">
        <v>300</v>
      </c>
      <c r="E59" s="9">
        <v>90</v>
      </c>
      <c r="F59" s="9">
        <v>0</v>
      </c>
      <c r="G59" s="9">
        <v>0</v>
      </c>
      <c r="H59" s="9">
        <v>60</v>
      </c>
      <c r="I59" s="10">
        <f t="shared" si="0"/>
        <v>900</v>
      </c>
      <c r="J59" s="10">
        <f t="shared" si="1"/>
        <v>540</v>
      </c>
      <c r="K59" s="11" t="s">
        <v>57</v>
      </c>
      <c r="L59" s="11" t="s">
        <v>117</v>
      </c>
      <c r="M59" s="11" t="s">
        <v>57</v>
      </c>
      <c r="N59" s="12" t="s">
        <v>95</v>
      </c>
    </row>
    <row r="60" spans="1:14" ht="58" x14ac:dyDescent="0.35">
      <c r="A60" s="8">
        <v>46294</v>
      </c>
      <c r="B60" s="9">
        <v>420</v>
      </c>
      <c r="C60" s="9">
        <v>25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0">
        <f t="shared" si="0"/>
        <v>445</v>
      </c>
      <c r="J60" s="10">
        <f t="shared" si="1"/>
        <v>995</v>
      </c>
      <c r="K60" s="11" t="s">
        <v>57</v>
      </c>
      <c r="L60" s="11" t="s">
        <v>117</v>
      </c>
      <c r="M60" s="11" t="s">
        <v>57</v>
      </c>
      <c r="N60" s="12" t="s">
        <v>96</v>
      </c>
    </row>
    <row r="61" spans="1:14" ht="58" x14ac:dyDescent="0.35">
      <c r="A61" s="8">
        <v>46295</v>
      </c>
      <c r="B61" s="9">
        <v>480</v>
      </c>
      <c r="C61" s="9">
        <v>40</v>
      </c>
      <c r="D61" s="9">
        <v>240</v>
      </c>
      <c r="E61" s="9">
        <v>90</v>
      </c>
      <c r="F61" s="9">
        <v>0</v>
      </c>
      <c r="G61" s="9">
        <v>0</v>
      </c>
      <c r="H61" s="9">
        <v>30</v>
      </c>
      <c r="I61" s="10">
        <f t="shared" si="0"/>
        <v>880</v>
      </c>
      <c r="J61" s="10">
        <f t="shared" si="1"/>
        <v>560</v>
      </c>
      <c r="K61" s="11" t="s">
        <v>57</v>
      </c>
      <c r="L61" s="11" t="s">
        <v>56</v>
      </c>
      <c r="M61" s="11" t="s">
        <v>57</v>
      </c>
      <c r="N61" s="12" t="s">
        <v>97</v>
      </c>
    </row>
    <row r="62" spans="1:14" ht="43.5" x14ac:dyDescent="0.35">
      <c r="A62" s="8">
        <v>46296</v>
      </c>
      <c r="B62" s="9">
        <v>480</v>
      </c>
      <c r="C62" s="9">
        <v>45</v>
      </c>
      <c r="D62" s="9">
        <v>360</v>
      </c>
      <c r="E62" s="9">
        <v>120</v>
      </c>
      <c r="F62" s="9">
        <v>0</v>
      </c>
      <c r="G62" s="9">
        <v>0</v>
      </c>
      <c r="H62" s="9">
        <v>30</v>
      </c>
      <c r="I62" s="10">
        <f t="shared" si="0"/>
        <v>1035</v>
      </c>
      <c r="J62" s="10">
        <f t="shared" si="1"/>
        <v>405</v>
      </c>
      <c r="K62" s="11" t="s">
        <v>49</v>
      </c>
      <c r="L62" s="11" t="s">
        <v>50</v>
      </c>
      <c r="M62" s="11" t="s">
        <v>51</v>
      </c>
      <c r="N62" s="12" t="s">
        <v>98</v>
      </c>
    </row>
    <row r="63" spans="1:14" ht="43.5" x14ac:dyDescent="0.35">
      <c r="A63" s="8">
        <v>46297</v>
      </c>
      <c r="B63" s="9">
        <v>480</v>
      </c>
      <c r="C63" s="9">
        <v>45</v>
      </c>
      <c r="D63" s="9">
        <v>360</v>
      </c>
      <c r="E63" s="9">
        <v>120</v>
      </c>
      <c r="F63" s="9">
        <v>0</v>
      </c>
      <c r="G63" s="9">
        <v>0</v>
      </c>
      <c r="H63" s="9">
        <v>30</v>
      </c>
      <c r="I63" s="10">
        <f t="shared" si="0"/>
        <v>1035</v>
      </c>
      <c r="J63" s="10">
        <f t="shared" si="1"/>
        <v>405</v>
      </c>
      <c r="K63" s="11" t="s">
        <v>59</v>
      </c>
      <c r="L63" s="11" t="s">
        <v>105</v>
      </c>
      <c r="M63" s="11" t="s">
        <v>60</v>
      </c>
      <c r="N63" s="12" t="s">
        <v>99</v>
      </c>
    </row>
    <row r="64" spans="1:14" ht="43.5" x14ac:dyDescent="0.35">
      <c r="A64" s="8">
        <v>46298</v>
      </c>
      <c r="B64" s="9">
        <v>480</v>
      </c>
      <c r="C64" s="9">
        <v>40</v>
      </c>
      <c r="D64" s="9">
        <v>360</v>
      </c>
      <c r="E64" s="9">
        <v>110</v>
      </c>
      <c r="F64" s="9">
        <v>0</v>
      </c>
      <c r="G64" s="9">
        <v>0</v>
      </c>
      <c r="H64" s="9">
        <v>30</v>
      </c>
      <c r="I64" s="10">
        <f t="shared" si="0"/>
        <v>1020</v>
      </c>
      <c r="J64" s="10">
        <f t="shared" si="1"/>
        <v>420</v>
      </c>
      <c r="K64" s="11" t="s">
        <v>49</v>
      </c>
      <c r="L64" s="11" t="s">
        <v>105</v>
      </c>
      <c r="M64" s="11" t="s">
        <v>60</v>
      </c>
      <c r="N64" s="12" t="s">
        <v>103</v>
      </c>
    </row>
    <row r="65" spans="1:14" ht="72.5" x14ac:dyDescent="0.35">
      <c r="A65" s="8">
        <v>46299</v>
      </c>
      <c r="B65" s="9">
        <v>480</v>
      </c>
      <c r="C65" s="9">
        <v>35</v>
      </c>
      <c r="D65" s="9">
        <v>355</v>
      </c>
      <c r="E65" s="9">
        <v>80</v>
      </c>
      <c r="F65" s="9">
        <v>0</v>
      </c>
      <c r="G65" s="9">
        <v>0</v>
      </c>
      <c r="H65" s="9">
        <v>40</v>
      </c>
      <c r="I65" s="10">
        <f t="shared" si="0"/>
        <v>990</v>
      </c>
      <c r="J65" s="10">
        <f t="shared" si="1"/>
        <v>450</v>
      </c>
      <c r="K65" s="11" t="s">
        <v>49</v>
      </c>
      <c r="L65" s="11" t="s">
        <v>50</v>
      </c>
      <c r="M65" s="11" t="s">
        <v>51</v>
      </c>
      <c r="N65" s="12" t="s">
        <v>102</v>
      </c>
    </row>
    <row r="66" spans="1:14" ht="43.5" x14ac:dyDescent="0.35">
      <c r="A66" s="8">
        <v>46300</v>
      </c>
      <c r="B66" s="9">
        <v>480</v>
      </c>
      <c r="C66" s="9">
        <v>35</v>
      </c>
      <c r="D66" s="9">
        <v>360</v>
      </c>
      <c r="E66" s="9">
        <v>120</v>
      </c>
      <c r="F66" s="9">
        <v>250</v>
      </c>
      <c r="G66" s="9">
        <v>5</v>
      </c>
      <c r="H66" s="9">
        <v>30</v>
      </c>
      <c r="I66" s="10">
        <f t="shared" si="0"/>
        <v>1275</v>
      </c>
      <c r="J66" s="10">
        <f t="shared" si="1"/>
        <v>165</v>
      </c>
      <c r="K66" s="11" t="s">
        <v>49</v>
      </c>
      <c r="L66" s="11" t="s">
        <v>105</v>
      </c>
      <c r="M66" s="11" t="s">
        <v>60</v>
      </c>
      <c r="N66" s="12" t="s">
        <v>118</v>
      </c>
    </row>
    <row r="67" spans="1:14" ht="43.5" x14ac:dyDescent="0.35">
      <c r="A67" s="8">
        <v>46301</v>
      </c>
      <c r="B67" s="9">
        <v>480</v>
      </c>
      <c r="C67" s="9">
        <v>40</v>
      </c>
      <c r="D67" s="9">
        <v>360</v>
      </c>
      <c r="E67" s="9">
        <v>110</v>
      </c>
      <c r="F67" s="9">
        <v>250</v>
      </c>
      <c r="G67" s="9">
        <v>5</v>
      </c>
      <c r="H67" s="9">
        <v>30</v>
      </c>
      <c r="I67" s="10">
        <f t="shared" si="0"/>
        <v>1270</v>
      </c>
      <c r="J67" s="10">
        <f t="shared" si="1"/>
        <v>170</v>
      </c>
      <c r="K67" s="11" t="s">
        <v>59</v>
      </c>
      <c r="L67" s="11" t="s">
        <v>50</v>
      </c>
      <c r="M67" s="11" t="s">
        <v>60</v>
      </c>
      <c r="N67" s="12" t="s">
        <v>119</v>
      </c>
    </row>
    <row r="68" spans="1:14" ht="43.5" x14ac:dyDescent="0.35">
      <c r="A68" s="8">
        <v>46302</v>
      </c>
      <c r="B68" s="9">
        <v>480</v>
      </c>
      <c r="C68" s="9">
        <v>40</v>
      </c>
      <c r="D68" s="9">
        <v>360</v>
      </c>
      <c r="E68" s="9">
        <v>120</v>
      </c>
      <c r="F68" s="9">
        <v>200</v>
      </c>
      <c r="G68" s="9">
        <v>4</v>
      </c>
      <c r="H68" s="9">
        <v>40</v>
      </c>
      <c r="I68" s="10">
        <f t="shared" si="0"/>
        <v>1240</v>
      </c>
      <c r="J68" s="10">
        <f t="shared" si="1"/>
        <v>200</v>
      </c>
      <c r="K68" s="11" t="s">
        <v>49</v>
      </c>
      <c r="L68" s="11" t="s">
        <v>50</v>
      </c>
      <c r="M68" s="11" t="s">
        <v>51</v>
      </c>
      <c r="N68" s="12" t="s">
        <v>120</v>
      </c>
    </row>
    <row r="69" spans="1:14" ht="43.5" x14ac:dyDescent="0.35">
      <c r="A69" s="8">
        <v>46303</v>
      </c>
      <c r="B69" s="9">
        <v>480</v>
      </c>
      <c r="C69" s="9">
        <v>40</v>
      </c>
      <c r="D69" s="9">
        <v>360</v>
      </c>
      <c r="E69" s="9">
        <v>110</v>
      </c>
      <c r="F69" s="9">
        <v>0</v>
      </c>
      <c r="G69" s="9">
        <v>0</v>
      </c>
      <c r="H69" s="9">
        <v>45</v>
      </c>
      <c r="I69" s="10">
        <f t="shared" ref="I69:I132" si="2">IF(SUM(B69:F69,H69)=0,"",SUM(B69:F69,H69))</f>
        <v>1035</v>
      </c>
      <c r="J69" s="10">
        <f t="shared" ref="J69:J132" si="3">IF(I69="","",1440-I69)</f>
        <v>405</v>
      </c>
      <c r="K69" s="11" t="s">
        <v>49</v>
      </c>
      <c r="L69" s="11" t="s">
        <v>50</v>
      </c>
      <c r="M69" s="11" t="s">
        <v>57</v>
      </c>
      <c r="N69" s="12" t="s">
        <v>118</v>
      </c>
    </row>
    <row r="70" spans="1:14" ht="58" x14ac:dyDescent="0.35">
      <c r="A70" s="8">
        <v>46304</v>
      </c>
      <c r="B70" s="9">
        <v>480</v>
      </c>
      <c r="C70" s="9">
        <v>40</v>
      </c>
      <c r="D70" s="9">
        <v>360</v>
      </c>
      <c r="E70" s="9">
        <v>100</v>
      </c>
      <c r="F70" s="9">
        <v>0</v>
      </c>
      <c r="G70" s="9">
        <v>0</v>
      </c>
      <c r="H70" s="9">
        <v>45</v>
      </c>
      <c r="I70" s="10">
        <f t="shared" si="2"/>
        <v>1025</v>
      </c>
      <c r="J70" s="10">
        <f t="shared" si="3"/>
        <v>415</v>
      </c>
      <c r="K70" s="11" t="s">
        <v>56</v>
      </c>
      <c r="L70" s="11" t="s">
        <v>50</v>
      </c>
      <c r="M70" s="11" t="s">
        <v>51</v>
      </c>
      <c r="N70" s="12" t="s">
        <v>121</v>
      </c>
    </row>
    <row r="71" spans="1:14" ht="58" x14ac:dyDescent="0.35">
      <c r="A71" s="8">
        <v>46305</v>
      </c>
      <c r="B71" s="9">
        <v>480</v>
      </c>
      <c r="C71" s="9">
        <v>40</v>
      </c>
      <c r="D71" s="9">
        <v>360</v>
      </c>
      <c r="E71" s="9">
        <v>110</v>
      </c>
      <c r="F71" s="9">
        <v>0</v>
      </c>
      <c r="G71" s="9">
        <v>0</v>
      </c>
      <c r="H71" s="9">
        <v>45</v>
      </c>
      <c r="I71" s="10">
        <f t="shared" si="2"/>
        <v>1035</v>
      </c>
      <c r="J71" s="10">
        <f t="shared" si="3"/>
        <v>405</v>
      </c>
      <c r="K71" s="11" t="s">
        <v>49</v>
      </c>
      <c r="L71" s="11" t="s">
        <v>50</v>
      </c>
      <c r="M71" s="11" t="s">
        <v>51</v>
      </c>
      <c r="N71" s="12" t="s">
        <v>122</v>
      </c>
    </row>
    <row r="72" spans="1:14" ht="43.5" x14ac:dyDescent="0.35">
      <c r="A72" s="8">
        <v>46306</v>
      </c>
      <c r="B72" s="9">
        <v>480</v>
      </c>
      <c r="C72" s="9">
        <v>40</v>
      </c>
      <c r="D72" s="9">
        <v>420</v>
      </c>
      <c r="E72" s="9">
        <v>100</v>
      </c>
      <c r="F72" s="9">
        <v>0</v>
      </c>
      <c r="G72" s="9">
        <v>0</v>
      </c>
      <c r="H72" s="9">
        <v>45</v>
      </c>
      <c r="I72" s="10">
        <f t="shared" si="2"/>
        <v>1085</v>
      </c>
      <c r="J72" s="10">
        <f t="shared" si="3"/>
        <v>355</v>
      </c>
      <c r="K72" s="11" t="s">
        <v>59</v>
      </c>
      <c r="L72" s="11" t="s">
        <v>105</v>
      </c>
      <c r="M72" s="11" t="s">
        <v>60</v>
      </c>
      <c r="N72" s="12" t="s">
        <v>123</v>
      </c>
    </row>
    <row r="73" spans="1:14" ht="58" x14ac:dyDescent="0.35">
      <c r="A73" s="8">
        <v>46307</v>
      </c>
      <c r="B73" s="9">
        <v>480</v>
      </c>
      <c r="C73" s="9">
        <v>40</v>
      </c>
      <c r="D73" s="9">
        <v>480</v>
      </c>
      <c r="E73" s="9">
        <v>100</v>
      </c>
      <c r="F73" s="9">
        <v>0</v>
      </c>
      <c r="G73" s="9">
        <v>0</v>
      </c>
      <c r="H73" s="9">
        <v>45</v>
      </c>
      <c r="I73" s="10">
        <f t="shared" si="2"/>
        <v>1145</v>
      </c>
      <c r="J73" s="10">
        <f t="shared" si="3"/>
        <v>295</v>
      </c>
      <c r="K73" s="11" t="s">
        <v>49</v>
      </c>
      <c r="L73" s="11" t="s">
        <v>50</v>
      </c>
      <c r="M73" s="11" t="s">
        <v>51</v>
      </c>
      <c r="N73" s="12" t="s">
        <v>124</v>
      </c>
    </row>
    <row r="74" spans="1:14" ht="72.5" x14ac:dyDescent="0.35">
      <c r="A74" s="8">
        <v>46308</v>
      </c>
      <c r="B74" s="9">
        <v>480</v>
      </c>
      <c r="C74" s="9">
        <v>40</v>
      </c>
      <c r="D74" s="9">
        <v>480</v>
      </c>
      <c r="E74" s="9">
        <v>100</v>
      </c>
      <c r="F74" s="9">
        <v>0</v>
      </c>
      <c r="G74" s="9">
        <v>0</v>
      </c>
      <c r="H74" s="9">
        <v>40</v>
      </c>
      <c r="I74" s="10">
        <f t="shared" si="2"/>
        <v>1140</v>
      </c>
      <c r="J74" s="10">
        <f t="shared" si="3"/>
        <v>300</v>
      </c>
      <c r="K74" s="11" t="s">
        <v>49</v>
      </c>
      <c r="L74" s="11" t="s">
        <v>50</v>
      </c>
      <c r="M74" s="11" t="s">
        <v>51</v>
      </c>
      <c r="N74" s="12" t="s">
        <v>125</v>
      </c>
    </row>
    <row r="75" spans="1:14" ht="58" x14ac:dyDescent="0.35">
      <c r="A75" s="8">
        <v>46309</v>
      </c>
      <c r="B75" s="9">
        <v>480</v>
      </c>
      <c r="C75" s="9">
        <v>40</v>
      </c>
      <c r="D75" s="9">
        <v>480</v>
      </c>
      <c r="E75" s="9">
        <v>100</v>
      </c>
      <c r="F75" s="9">
        <v>0</v>
      </c>
      <c r="G75" s="9">
        <v>0</v>
      </c>
      <c r="H75" s="9">
        <v>45</v>
      </c>
      <c r="I75" s="10">
        <f t="shared" si="2"/>
        <v>1145</v>
      </c>
      <c r="J75" s="10">
        <f t="shared" si="3"/>
        <v>295</v>
      </c>
      <c r="K75" s="11" t="s">
        <v>59</v>
      </c>
      <c r="L75" s="11" t="s">
        <v>105</v>
      </c>
      <c r="M75" s="11" t="s">
        <v>60</v>
      </c>
      <c r="N75" s="12" t="s">
        <v>126</v>
      </c>
    </row>
    <row r="76" spans="1:14" ht="58" x14ac:dyDescent="0.35">
      <c r="A76" s="8">
        <v>46310</v>
      </c>
      <c r="B76" s="9">
        <v>480</v>
      </c>
      <c r="C76" s="9">
        <v>40</v>
      </c>
      <c r="D76" s="9">
        <v>540</v>
      </c>
      <c r="E76" s="9">
        <v>100</v>
      </c>
      <c r="F76" s="9">
        <v>0</v>
      </c>
      <c r="G76" s="9">
        <v>0</v>
      </c>
      <c r="H76" s="9">
        <v>45</v>
      </c>
      <c r="I76" s="10">
        <f t="shared" si="2"/>
        <v>1205</v>
      </c>
      <c r="J76" s="10">
        <f t="shared" si="3"/>
        <v>235</v>
      </c>
      <c r="K76" s="11" t="s">
        <v>49</v>
      </c>
      <c r="L76" s="11" t="s">
        <v>50</v>
      </c>
      <c r="M76" s="11" t="s">
        <v>51</v>
      </c>
      <c r="N76" s="12" t="s">
        <v>127</v>
      </c>
    </row>
    <row r="77" spans="1:14" ht="58" x14ac:dyDescent="0.35">
      <c r="A77" s="8">
        <v>46311</v>
      </c>
      <c r="B77" s="9">
        <v>480</v>
      </c>
      <c r="C77" s="9">
        <v>40</v>
      </c>
      <c r="D77" s="9">
        <v>480</v>
      </c>
      <c r="E77" s="9">
        <v>100</v>
      </c>
      <c r="F77" s="9">
        <v>0</v>
      </c>
      <c r="G77" s="9">
        <v>0</v>
      </c>
      <c r="H77" s="9">
        <v>45</v>
      </c>
      <c r="I77" s="10">
        <f t="shared" si="2"/>
        <v>1145</v>
      </c>
      <c r="J77" s="10">
        <f t="shared" si="3"/>
        <v>295</v>
      </c>
      <c r="K77" s="11" t="s">
        <v>49</v>
      </c>
      <c r="L77" s="11" t="s">
        <v>50</v>
      </c>
      <c r="M77" s="11" t="s">
        <v>51</v>
      </c>
      <c r="N77" s="12" t="s">
        <v>128</v>
      </c>
    </row>
    <row r="78" spans="1:14" ht="58" x14ac:dyDescent="0.35">
      <c r="A78" s="8">
        <v>46312</v>
      </c>
      <c r="B78" s="9">
        <v>480</v>
      </c>
      <c r="C78" s="9">
        <v>45</v>
      </c>
      <c r="D78" s="9">
        <v>540</v>
      </c>
      <c r="E78" s="9">
        <v>100</v>
      </c>
      <c r="F78" s="9">
        <v>0</v>
      </c>
      <c r="G78" s="9">
        <v>0</v>
      </c>
      <c r="H78" s="9">
        <v>45</v>
      </c>
      <c r="I78" s="10">
        <f t="shared" si="2"/>
        <v>1210</v>
      </c>
      <c r="J78" s="10">
        <f t="shared" si="3"/>
        <v>230</v>
      </c>
      <c r="K78" s="11" t="s">
        <v>59</v>
      </c>
      <c r="L78" s="11" t="s">
        <v>50</v>
      </c>
      <c r="M78" s="11" t="s">
        <v>51</v>
      </c>
      <c r="N78" s="12" t="s">
        <v>129</v>
      </c>
    </row>
    <row r="79" spans="1:14" ht="58" x14ac:dyDescent="0.35">
      <c r="A79" s="8">
        <v>46313</v>
      </c>
      <c r="B79" s="9">
        <v>480</v>
      </c>
      <c r="C79" s="9">
        <v>45</v>
      </c>
      <c r="D79" s="9">
        <v>480</v>
      </c>
      <c r="E79" s="9">
        <v>100</v>
      </c>
      <c r="F79" s="9">
        <v>0</v>
      </c>
      <c r="G79" s="9">
        <v>0</v>
      </c>
      <c r="H79" s="9">
        <v>45</v>
      </c>
      <c r="I79" s="10">
        <f t="shared" si="2"/>
        <v>1150</v>
      </c>
      <c r="J79" s="10">
        <f t="shared" si="3"/>
        <v>290</v>
      </c>
      <c r="K79" s="11" t="s">
        <v>59</v>
      </c>
      <c r="L79" s="11" t="s">
        <v>50</v>
      </c>
      <c r="M79" s="11" t="s">
        <v>60</v>
      </c>
      <c r="N79" s="12" t="s">
        <v>130</v>
      </c>
    </row>
    <row r="80" spans="1:14" ht="58" x14ac:dyDescent="0.35">
      <c r="A80" s="8">
        <v>46314</v>
      </c>
      <c r="B80" s="9">
        <v>420</v>
      </c>
      <c r="C80" s="9">
        <v>40</v>
      </c>
      <c r="D80" s="9">
        <v>180</v>
      </c>
      <c r="E80" s="9">
        <v>190</v>
      </c>
      <c r="F80" s="9">
        <v>250</v>
      </c>
      <c r="G80" s="9">
        <v>5</v>
      </c>
      <c r="H80" s="9">
        <v>45</v>
      </c>
      <c r="I80" s="10">
        <f t="shared" si="2"/>
        <v>1125</v>
      </c>
      <c r="J80" s="10">
        <f t="shared" si="3"/>
        <v>315</v>
      </c>
      <c r="K80" s="11" t="s">
        <v>49</v>
      </c>
      <c r="L80" s="11" t="s">
        <v>50</v>
      </c>
      <c r="M80" s="11" t="s">
        <v>51</v>
      </c>
      <c r="N80" s="12" t="s">
        <v>131</v>
      </c>
    </row>
    <row r="81" spans="1:14" ht="58" x14ac:dyDescent="0.35">
      <c r="A81" s="8">
        <v>46315</v>
      </c>
      <c r="B81" s="9">
        <v>480</v>
      </c>
      <c r="C81" s="9">
        <v>60</v>
      </c>
      <c r="D81" s="9">
        <v>180</v>
      </c>
      <c r="E81" s="9">
        <v>190</v>
      </c>
      <c r="F81" s="9">
        <v>0</v>
      </c>
      <c r="G81" s="9">
        <v>0</v>
      </c>
      <c r="H81" s="9">
        <v>45</v>
      </c>
      <c r="I81" s="10">
        <f t="shared" si="2"/>
        <v>955</v>
      </c>
      <c r="J81" s="10">
        <f t="shared" si="3"/>
        <v>485</v>
      </c>
      <c r="K81" s="11" t="s">
        <v>59</v>
      </c>
      <c r="L81" s="11" t="s">
        <v>105</v>
      </c>
      <c r="M81" s="11" t="s">
        <v>60</v>
      </c>
      <c r="N81" s="12" t="s">
        <v>132</v>
      </c>
    </row>
    <row r="82" spans="1:14" ht="58" x14ac:dyDescent="0.35">
      <c r="A82" s="8">
        <v>46316</v>
      </c>
      <c r="B82" s="9">
        <v>480</v>
      </c>
      <c r="C82" s="9">
        <v>60</v>
      </c>
      <c r="D82" s="9">
        <v>180</v>
      </c>
      <c r="E82" s="9">
        <v>120</v>
      </c>
      <c r="F82" s="9">
        <v>200</v>
      </c>
      <c r="G82" s="9">
        <v>4</v>
      </c>
      <c r="H82" s="9">
        <v>45</v>
      </c>
      <c r="I82" s="10">
        <f t="shared" si="2"/>
        <v>1085</v>
      </c>
      <c r="J82" s="10">
        <f t="shared" si="3"/>
        <v>355</v>
      </c>
      <c r="K82" s="11" t="s">
        <v>59</v>
      </c>
      <c r="L82" s="11" t="s">
        <v>105</v>
      </c>
      <c r="M82" s="11" t="s">
        <v>60</v>
      </c>
      <c r="N82" s="12" t="s">
        <v>133</v>
      </c>
    </row>
    <row r="83" spans="1:14" ht="58" x14ac:dyDescent="0.35">
      <c r="A83" s="8">
        <v>46317</v>
      </c>
      <c r="B83" s="9">
        <v>480</v>
      </c>
      <c r="C83" s="9">
        <v>60</v>
      </c>
      <c r="D83" s="9">
        <v>180</v>
      </c>
      <c r="E83" s="9">
        <v>180</v>
      </c>
      <c r="F83" s="9">
        <v>300</v>
      </c>
      <c r="G83" s="9">
        <v>6</v>
      </c>
      <c r="H83" s="9">
        <v>45</v>
      </c>
      <c r="I83" s="10">
        <f t="shared" si="2"/>
        <v>1245</v>
      </c>
      <c r="J83" s="10">
        <f t="shared" si="3"/>
        <v>195</v>
      </c>
      <c r="K83" s="11" t="s">
        <v>49</v>
      </c>
      <c r="L83" s="11" t="s">
        <v>50</v>
      </c>
      <c r="M83" s="11" t="s">
        <v>51</v>
      </c>
      <c r="N83" s="12" t="s">
        <v>134</v>
      </c>
    </row>
    <row r="84" spans="1:14" x14ac:dyDescent="0.35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5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5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5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5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5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5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5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5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5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5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5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5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5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5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5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5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5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5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5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5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5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5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5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5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5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5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5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5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5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5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5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5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5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5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5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5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5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35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35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35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35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35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35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35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35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35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35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35">
      <c r="A132" s="8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x14ac:dyDescent="0.35">
      <c r="A133" s="8"/>
      <c r="B133" s="9"/>
      <c r="C133" s="9"/>
      <c r="D133" s="9"/>
      <c r="E133" s="9"/>
      <c r="F133" s="9"/>
      <c r="G133" s="9"/>
      <c r="H133" s="9"/>
      <c r="I133" s="10" t="str">
        <f t="shared" ref="I133:I196" si="4">IF(SUM(B133:F133,H133)=0,"",SUM(B133:F133,H133))</f>
        <v/>
      </c>
      <c r="J133" s="10" t="str">
        <f t="shared" ref="J133:J196" si="5">IF(I133="","",1440-I133)</f>
        <v/>
      </c>
      <c r="K133" s="11"/>
      <c r="L133" s="11"/>
      <c r="M133" s="11"/>
      <c r="N133" s="12"/>
    </row>
    <row r="134" spans="1:14" x14ac:dyDescent="0.35">
      <c r="A134" s="8"/>
      <c r="B134" s="9"/>
      <c r="C134" s="9"/>
      <c r="D134" s="9"/>
      <c r="E134" s="9"/>
      <c r="F134" s="9"/>
      <c r="G134" s="9"/>
      <c r="H134" s="9"/>
      <c r="I134" s="10" t="str">
        <f t="shared" si="4"/>
        <v/>
      </c>
      <c r="J134" s="10" t="str">
        <f t="shared" si="5"/>
        <v/>
      </c>
      <c r="K134" s="11"/>
      <c r="L134" s="11"/>
      <c r="M134" s="11"/>
      <c r="N134" s="12"/>
    </row>
    <row r="135" spans="1:14" x14ac:dyDescent="0.35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35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35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35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35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5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5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5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5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5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5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5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5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5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5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5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5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5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5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5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5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5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5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5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5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5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5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5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5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5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5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5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5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5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5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5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5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5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5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5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5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5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5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5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5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5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5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5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5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5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5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35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35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35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35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35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35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35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35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35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35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35">
      <c r="A196" s="8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x14ac:dyDescent="0.35">
      <c r="A197" s="8"/>
      <c r="B197" s="9"/>
      <c r="C197" s="9"/>
      <c r="D197" s="9"/>
      <c r="E197" s="9"/>
      <c r="F197" s="9"/>
      <c r="G197" s="9"/>
      <c r="H197" s="9"/>
      <c r="I197" s="10" t="str">
        <f t="shared" ref="I197:I260" si="6">IF(SUM(B197:F197,H197)=0,"",SUM(B197:F197,H197))</f>
        <v/>
      </c>
      <c r="J197" s="10" t="str">
        <f t="shared" ref="J197:J260" si="7">IF(I197="","",1440-I197)</f>
        <v/>
      </c>
      <c r="K197" s="11"/>
      <c r="L197" s="11"/>
      <c r="M197" s="11"/>
      <c r="N197" s="12"/>
    </row>
    <row r="198" spans="1:14" x14ac:dyDescent="0.35">
      <c r="A198" s="8"/>
      <c r="B198" s="9"/>
      <c r="C198" s="9"/>
      <c r="D198" s="9"/>
      <c r="E198" s="9"/>
      <c r="F198" s="9"/>
      <c r="G198" s="9"/>
      <c r="H198" s="9"/>
      <c r="I198" s="10" t="str">
        <f t="shared" si="6"/>
        <v/>
      </c>
      <c r="J198" s="10" t="str">
        <f t="shared" si="7"/>
        <v/>
      </c>
      <c r="K198" s="11"/>
      <c r="L198" s="11"/>
      <c r="M198" s="11"/>
      <c r="N198" s="12"/>
    </row>
    <row r="199" spans="1:14" x14ac:dyDescent="0.35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35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35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35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35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5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5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5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5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5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5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5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5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5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5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5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5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5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5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5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5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5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5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5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5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5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5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5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5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5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5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5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5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5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5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5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5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5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5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5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5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5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5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5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5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5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5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5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5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5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5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5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5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5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5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5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5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5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5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5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5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35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x14ac:dyDescent="0.35">
      <c r="A261" s="8"/>
      <c r="B261" s="9"/>
      <c r="C261" s="9"/>
      <c r="D261" s="9"/>
      <c r="E261" s="9"/>
      <c r="F261" s="9"/>
      <c r="G261" s="9"/>
      <c r="H261" s="9"/>
      <c r="I261" s="10" t="str">
        <f t="shared" ref="I261:I324" si="8">IF(SUM(B261:F261,H261)=0,"",SUM(B261:F261,H261))</f>
        <v/>
      </c>
      <c r="J261" s="10" t="str">
        <f t="shared" ref="J261:J324" si="9">IF(I261="","",1440-I261)</f>
        <v/>
      </c>
      <c r="K261" s="11"/>
      <c r="L261" s="11"/>
      <c r="M261" s="11"/>
      <c r="N261" s="12"/>
    </row>
    <row r="262" spans="1:14" x14ac:dyDescent="0.35">
      <c r="A262" s="8"/>
      <c r="B262" s="9"/>
      <c r="C262" s="9"/>
      <c r="D262" s="9"/>
      <c r="E262" s="9"/>
      <c r="F262" s="9"/>
      <c r="G262" s="9"/>
      <c r="H262" s="9"/>
      <c r="I262" s="10" t="str">
        <f t="shared" si="8"/>
        <v/>
      </c>
      <c r="J262" s="10" t="str">
        <f t="shared" si="9"/>
        <v/>
      </c>
      <c r="K262" s="11"/>
      <c r="L262" s="11"/>
      <c r="M262" s="11"/>
      <c r="N262" s="12"/>
    </row>
    <row r="263" spans="1:14" x14ac:dyDescent="0.35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35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5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5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5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5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5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5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5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5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5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5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5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5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5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5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5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5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5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5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5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5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5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5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5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5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5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5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5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5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5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5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5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5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5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5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5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5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5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5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5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5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5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5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5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5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5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5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5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5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5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5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5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5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5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5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5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5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5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5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5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35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x14ac:dyDescent="0.35">
      <c r="A325" s="8"/>
      <c r="B325" s="9"/>
      <c r="C325" s="9"/>
      <c r="D325" s="9"/>
      <c r="E325" s="9"/>
      <c r="F325" s="9"/>
      <c r="G325" s="9"/>
      <c r="H325" s="9"/>
      <c r="I325" s="10" t="str">
        <f t="shared" ref="I325:I388" si="10">IF(SUM(B325:F325,H325)=0,"",SUM(B325:F325,H325))</f>
        <v/>
      </c>
      <c r="J325" s="10" t="str">
        <f t="shared" ref="J325:J388" si="11">IF(I325="","",1440-I325)</f>
        <v/>
      </c>
      <c r="K325" s="11"/>
      <c r="L325" s="11"/>
      <c r="M325" s="11"/>
      <c r="N325" s="12"/>
    </row>
    <row r="326" spans="1:14" x14ac:dyDescent="0.35">
      <c r="A326" s="8"/>
      <c r="B326" s="9"/>
      <c r="C326" s="9"/>
      <c r="D326" s="9"/>
      <c r="E326" s="9"/>
      <c r="F326" s="9"/>
      <c r="G326" s="9"/>
      <c r="H326" s="9"/>
      <c r="I326" s="10" t="str">
        <f t="shared" si="10"/>
        <v/>
      </c>
      <c r="J326" s="10" t="str">
        <f t="shared" si="11"/>
        <v/>
      </c>
      <c r="K326" s="11"/>
      <c r="L326" s="11"/>
      <c r="M326" s="11"/>
      <c r="N326" s="12"/>
    </row>
    <row r="327" spans="1:14" x14ac:dyDescent="0.35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35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5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5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5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5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5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5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5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5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5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5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5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5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5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5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5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5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5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5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5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5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5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5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5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5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5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5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5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5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5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5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5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5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5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5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5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5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5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5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5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5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5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5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5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5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5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5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5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5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5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5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5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5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5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5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5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5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5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5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5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35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x14ac:dyDescent="0.35">
      <c r="A389" s="8"/>
      <c r="B389" s="9"/>
      <c r="C389" s="9"/>
      <c r="D389" s="9"/>
      <c r="E389" s="9"/>
      <c r="F389" s="9"/>
      <c r="G389" s="9"/>
      <c r="H389" s="9"/>
      <c r="I389" s="10" t="str">
        <f t="shared" ref="I389:I400" si="12">IF(SUM(B389:F389,H389)=0,"",SUM(B389:F389,H389))</f>
        <v/>
      </c>
      <c r="J389" s="10" t="str">
        <f t="shared" ref="J389:J400" si="13">IF(I389="","",1440-I389)</f>
        <v/>
      </c>
      <c r="K389" s="11"/>
      <c r="L389" s="11"/>
      <c r="M389" s="11"/>
      <c r="N389" s="12"/>
    </row>
    <row r="390" spans="1:14" x14ac:dyDescent="0.35">
      <c r="A390" s="8"/>
      <c r="B390" s="9"/>
      <c r="C390" s="9"/>
      <c r="D390" s="9"/>
      <c r="E390" s="9"/>
      <c r="F390" s="9"/>
      <c r="G390" s="9"/>
      <c r="H390" s="9"/>
      <c r="I390" s="10" t="str">
        <f t="shared" si="12"/>
        <v/>
      </c>
      <c r="J390" s="10" t="str">
        <f t="shared" si="13"/>
        <v/>
      </c>
      <c r="K390" s="11"/>
      <c r="L390" s="11"/>
      <c r="M390" s="11"/>
      <c r="N390" s="12"/>
    </row>
    <row r="391" spans="1:14" x14ac:dyDescent="0.35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35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35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35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35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5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5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5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35">
      <c r="A399" s="8"/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  <row r="400" spans="1:14" x14ac:dyDescent="0.35">
      <c r="A400" s="8"/>
      <c r="B400" s="9"/>
      <c r="C400" s="9"/>
      <c r="D400" s="9"/>
      <c r="E400" s="9"/>
      <c r="F400" s="9"/>
      <c r="G400" s="9"/>
      <c r="H400" s="9"/>
      <c r="I400" s="10" t="str">
        <f t="shared" si="12"/>
        <v/>
      </c>
      <c r="J400" s="10" t="str">
        <f t="shared" si="13"/>
        <v/>
      </c>
      <c r="K400" s="11"/>
      <c r="L400" s="11"/>
      <c r="M400" s="11"/>
      <c r="N400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0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0" xr:uid="{00000000-0002-0000-0100-000000000000}">
      <formula1>"Excellent,Good,Neutral,Low,Stressed"</formula1>
      <formula2>0</formula2>
    </dataValidation>
    <dataValidation type="list" allowBlank="1" prompt="Select today's satisfaction level" sqref="L6:L400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0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roshanikumari32060@outlook.com</cp:lastModifiedBy>
  <cp:revision>0</cp:revision>
  <dcterms:created xsi:type="dcterms:W3CDTF">2026-07-24T11:49:30Z</dcterms:created>
  <dcterms:modified xsi:type="dcterms:W3CDTF">2026-10-22T17:28:05Z</dcterms:modified>
  <dc:language>en-US</dc:language>
</cp:coreProperties>
</file>